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arriLabs\Wordle\"/>
    </mc:Choice>
  </mc:AlternateContent>
  <bookViews>
    <workbookView xWindow="0" yWindow="0" windowWidth="20490" windowHeight="7050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6" i="1" l="1"/>
  <c r="T15" i="1" l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4" i="1"/>
  <c r="AK3" i="1"/>
  <c r="AK2" i="1"/>
  <c r="AK1" i="1"/>
  <c r="I22" i="1" l="1"/>
  <c r="I23" i="1"/>
  <c r="I24" i="1"/>
  <c r="C23" i="1"/>
  <c r="C24" i="1"/>
  <c r="C25" i="1"/>
  <c r="C22" i="1"/>
  <c r="T11" i="1" l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4" i="1"/>
  <c r="AG5" i="1" s="1"/>
  <c r="AG6" i="1" s="1"/>
  <c r="AG7" i="1" s="1"/>
  <c r="AG8" i="1" s="1"/>
  <c r="AG9" i="1" s="1"/>
  <c r="AG10" i="1" s="1"/>
  <c r="AG11" i="1" s="1"/>
  <c r="AG12" i="1" s="1"/>
  <c r="AG13" i="1" s="1"/>
  <c r="AG14" i="1" s="1"/>
  <c r="AG15" i="1" s="1"/>
  <c r="AG16" i="1" s="1"/>
  <c r="AG17" i="1"/>
  <c r="AG18" i="1"/>
  <c r="AG19" i="1"/>
  <c r="AG20" i="1" s="1"/>
  <c r="AG21" i="1" s="1"/>
  <c r="AG22" i="1"/>
  <c r="AG23" i="1"/>
  <c r="AG24" i="1" s="1"/>
  <c r="AG25" i="1" s="1"/>
  <c r="AG26" i="1" s="1"/>
  <c r="AG27" i="1" s="1"/>
  <c r="AG28" i="1" s="1"/>
  <c r="AG29" i="1" s="1"/>
  <c r="AG30" i="1" s="1"/>
  <c r="AG31" i="1" s="1"/>
  <c r="AG32" i="1" s="1"/>
  <c r="AG33" i="1" s="1"/>
  <c r="AG34" i="1"/>
  <c r="AG35" i="1"/>
  <c r="AG36" i="1" s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1" i="1"/>
  <c r="AG2" i="1" s="1"/>
  <c r="AG3" i="1" s="1"/>
  <c r="D23" i="1" l="1"/>
  <c r="E23" i="1"/>
  <c r="F23" i="1"/>
  <c r="G23" i="1"/>
  <c r="H23" i="1"/>
  <c r="D24" i="1"/>
  <c r="E24" i="1"/>
  <c r="D25" i="1"/>
  <c r="E25" i="1"/>
  <c r="E22" i="1"/>
  <c r="G22" i="1"/>
  <c r="Y9" i="1"/>
  <c r="Y8" i="1"/>
  <c r="Y7" i="1"/>
  <c r="Y6" i="1"/>
  <c r="Y5" i="1"/>
  <c r="Y4" i="1"/>
  <c r="Y3" i="1"/>
  <c r="L15" i="1"/>
  <c r="L11" i="1" l="1"/>
  <c r="L12" i="1"/>
  <c r="L13" i="1"/>
  <c r="L14" i="1"/>
  <c r="L10" i="1"/>
  <c r="Y1" i="1"/>
  <c r="Y2" i="1"/>
  <c r="AL1" i="1" l="1"/>
  <c r="AL2" i="1" s="1"/>
  <c r="AL3" i="1" s="1"/>
  <c r="AL4" i="1" s="1"/>
  <c r="AL5" i="1" s="1"/>
  <c r="AL6" i="1" s="1"/>
  <c r="AL7" i="1" s="1"/>
  <c r="AL8" i="1" s="1"/>
  <c r="AL9" i="1" s="1"/>
  <c r="AL10" i="1" s="1"/>
  <c r="AL11" i="1" s="1"/>
  <c r="AL12" i="1" s="1"/>
  <c r="AL13" i="1" s="1"/>
  <c r="AL14" i="1" s="1"/>
  <c r="AL15" i="1" s="1"/>
  <c r="AL16" i="1" s="1"/>
  <c r="AL17" i="1" s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S2" i="1"/>
  <c r="T10" i="1"/>
  <c r="T12" i="1" s="1"/>
  <c r="T14" i="1"/>
  <c r="T13" i="1"/>
  <c r="D53" i="1"/>
  <c r="E53" i="1"/>
  <c r="F53" i="1"/>
  <c r="G53" i="1"/>
  <c r="H53" i="1"/>
  <c r="H54" i="1"/>
  <c r="E30" i="1" l="1"/>
  <c r="E31" i="1"/>
  <c r="E28" i="1"/>
  <c r="E32" i="1"/>
  <c r="E29" i="1"/>
  <c r="G28" i="1"/>
  <c r="G32" i="1"/>
  <c r="G29" i="1"/>
  <c r="G30" i="1"/>
  <c r="G31" i="1"/>
  <c r="D31" i="1"/>
  <c r="D30" i="1"/>
  <c r="D28" i="1"/>
  <c r="D32" i="1"/>
  <c r="D29" i="1"/>
  <c r="K11" i="1" l="1"/>
  <c r="K12" i="1"/>
  <c r="K13" i="1"/>
  <c r="K14" i="1"/>
  <c r="K15" i="1"/>
  <c r="K10" i="1"/>
  <c r="E27" i="1" l="1"/>
  <c r="F29" i="1" l="1"/>
  <c r="E54" i="1"/>
  <c r="F32" i="1"/>
  <c r="F30" i="1"/>
  <c r="F31" i="1"/>
  <c r="F28" i="1"/>
  <c r="D40" i="1"/>
  <c r="E43" i="1"/>
  <c r="H43" i="1"/>
  <c r="H41" i="1"/>
  <c r="G44" i="1"/>
  <c r="H42" i="1"/>
  <c r="G40" i="1"/>
  <c r="H44" i="1"/>
  <c r="F41" i="1"/>
  <c r="F44" i="1"/>
  <c r="D54" i="1"/>
  <c r="H40" i="1"/>
  <c r="D44" i="1"/>
  <c r="G42" i="1"/>
  <c r="F40" i="1"/>
  <c r="G43" i="1"/>
  <c r="D43" i="1"/>
  <c r="G41" i="1"/>
  <c r="E40" i="1"/>
  <c r="F43" i="1"/>
  <c r="E41" i="1"/>
  <c r="F42" i="1"/>
  <c r="D41" i="1"/>
  <c r="E44" i="1"/>
  <c r="E42" i="1"/>
  <c r="D42" i="1"/>
  <c r="H31" i="1"/>
  <c r="H28" i="1"/>
  <c r="H32" i="1"/>
  <c r="H29" i="1"/>
  <c r="G54" i="1"/>
  <c r="H30" i="1"/>
  <c r="F54" i="1"/>
  <c r="G27" i="1"/>
  <c r="D27" i="1"/>
  <c r="G39" i="1"/>
  <c r="H39" i="1"/>
  <c r="F39" i="1"/>
  <c r="E39" i="1"/>
  <c r="D39" i="1"/>
  <c r="F27" i="1"/>
  <c r="H27" i="1"/>
  <c r="M10" i="1"/>
  <c r="M14" i="1"/>
  <c r="M11" i="1"/>
  <c r="M13" i="1"/>
  <c r="M12" i="1"/>
  <c r="M15" i="1"/>
  <c r="E55" i="1" l="1"/>
  <c r="D55" i="1"/>
  <c r="F55" i="1"/>
  <c r="F36" i="1"/>
  <c r="D36" i="1"/>
  <c r="D48" i="1" s="1"/>
  <c r="F38" i="1"/>
  <c r="D38" i="1"/>
  <c r="D50" i="1" s="1"/>
  <c r="E38" i="1"/>
  <c r="H37" i="1"/>
  <c r="G37" i="1"/>
  <c r="F34" i="1"/>
  <c r="D34" i="1"/>
  <c r="D46" i="1" s="1"/>
  <c r="H25" i="1" s="1"/>
  <c r="E34" i="1"/>
  <c r="H38" i="1"/>
  <c r="G38" i="1"/>
  <c r="E36" i="1"/>
  <c r="H36" i="1"/>
  <c r="G36" i="1"/>
  <c r="H34" i="1"/>
  <c r="G34" i="1"/>
  <c r="G55" i="1"/>
  <c r="H35" i="1"/>
  <c r="G35" i="1"/>
  <c r="F37" i="1"/>
  <c r="D37" i="1"/>
  <c r="D49" i="1" s="1"/>
  <c r="E37" i="1"/>
  <c r="F35" i="1"/>
  <c r="D35" i="1"/>
  <c r="D47" i="1" s="1"/>
  <c r="G25" i="1" s="1"/>
  <c r="E35" i="1"/>
  <c r="H55" i="1"/>
  <c r="E33" i="1"/>
  <c r="H33" i="1"/>
  <c r="G33" i="1"/>
  <c r="F33" i="1"/>
  <c r="D33" i="1"/>
  <c r="D45" i="1" s="1"/>
  <c r="E50" i="1" l="1"/>
  <c r="F50" i="1" s="1"/>
  <c r="G50" i="1" s="1"/>
  <c r="H50" i="1" s="1"/>
  <c r="E49" i="1"/>
  <c r="F49" i="1" s="1"/>
  <c r="G49" i="1" s="1"/>
  <c r="H49" i="1" s="1"/>
  <c r="E48" i="1"/>
  <c r="F48" i="1" s="1"/>
  <c r="G48" i="1" s="1"/>
  <c r="H48" i="1" s="1"/>
  <c r="E47" i="1"/>
  <c r="F47" i="1" s="1"/>
  <c r="E46" i="1"/>
  <c r="E45" i="1"/>
  <c r="F45" i="1" l="1"/>
  <c r="H22" i="1" s="1"/>
  <c r="F22" i="1"/>
  <c r="G47" i="1"/>
  <c r="H47" i="1" s="1"/>
  <c r="G24" i="1"/>
  <c r="F46" i="1"/>
  <c r="F24" i="1" s="1"/>
  <c r="G45" i="1" l="1"/>
  <c r="H45" i="1" s="1"/>
  <c r="H24" i="1" s="1"/>
  <c r="G46" i="1"/>
  <c r="D22" i="1" s="1"/>
  <c r="H46" i="1" l="1"/>
  <c r="F25" i="1" s="1"/>
</calcChain>
</file>

<file path=xl/sharedStrings.xml><?xml version="1.0" encoding="utf-8"?>
<sst xmlns="http://schemas.openxmlformats.org/spreadsheetml/2006/main" count="13776" uniqueCount="2327">
  <si>
    <t>C</t>
  </si>
  <si>
    <t>A</t>
  </si>
  <si>
    <t>S</t>
  </si>
  <si>
    <t>R</t>
  </si>
  <si>
    <t>T</t>
  </si>
  <si>
    <t>O</t>
  </si>
  <si>
    <t>N</t>
  </si>
  <si>
    <t>L</t>
  </si>
  <si>
    <t>U</t>
  </si>
  <si>
    <t>P</t>
  </si>
  <si>
    <t>I</t>
  </si>
  <si>
    <t>E</t>
  </si>
  <si>
    <t>Z</t>
  </si>
  <si>
    <t>M</t>
  </si>
  <si>
    <t>K</t>
  </si>
  <si>
    <t>J</t>
  </si>
  <si>
    <t>abajo</t>
  </si>
  <si>
    <t>abano</t>
  </si>
  <si>
    <t>abate</t>
  </si>
  <si>
    <t>abeja</t>
  </si>
  <si>
    <t>abeto</t>
  </si>
  <si>
    <t>abono</t>
  </si>
  <si>
    <t>abril</t>
  </si>
  <si>
    <t>abrir</t>
  </si>
  <si>
    <t>abuso</t>
  </si>
  <si>
    <t>acabo</t>
  </si>
  <si>
    <t>acaso</t>
  </si>
  <si>
    <t>acebo</t>
  </si>
  <si>
    <t>acera</t>
  </si>
  <si>
    <t>acero</t>
  </si>
  <si>
    <t>acierto</t>
  </si>
  <si>
    <t>acoso</t>
  </si>
  <si>
    <t>actor</t>
  </si>
  <si>
    <t>acuse</t>
  </si>
  <si>
    <t>adobe</t>
  </si>
  <si>
    <t>adobo</t>
  </si>
  <si>
    <t>afear</t>
  </si>
  <si>
    <t>afijo</t>
  </si>
  <si>
    <t>aforo</t>
  </si>
  <si>
    <t>agria</t>
  </si>
  <si>
    <t>agrio</t>
  </si>
  <si>
    <t>aguar</t>
  </si>
  <si>
    <t>aguda</t>
  </si>
  <si>
    <t>agudo</t>
  </si>
  <si>
    <t>aguja</t>
  </si>
  <si>
    <t>ahogo</t>
  </si>
  <si>
    <t>ahora</t>
  </si>
  <si>
    <t>ajada</t>
  </si>
  <si>
    <t>ajado</t>
  </si>
  <si>
    <t>ajena</t>
  </si>
  <si>
    <t>ajeno</t>
  </si>
  <si>
    <t>ajete</t>
  </si>
  <si>
    <t>ajuar</t>
  </si>
  <si>
    <t>alada</t>
  </si>
  <si>
    <t>alado</t>
  </si>
  <si>
    <t>albor</t>
  </si>
  <si>
    <t>aldea</t>
  </si>
  <si>
    <t>alero</t>
  </si>
  <si>
    <t>aleta</t>
  </si>
  <si>
    <t>alfil</t>
  </si>
  <si>
    <t>alfoz</t>
  </si>
  <si>
    <t>aliar</t>
  </si>
  <si>
    <t>alias</t>
  </si>
  <si>
    <t>alijo</t>
  </si>
  <si>
    <t>aliño</t>
  </si>
  <si>
    <t>altar</t>
  </si>
  <si>
    <t>alzar</t>
  </si>
  <si>
    <t>amada</t>
  </si>
  <si>
    <t>amado</t>
  </si>
  <si>
    <t>amago</t>
  </si>
  <si>
    <t>amaño</t>
  </si>
  <si>
    <t>ambas</t>
  </si>
  <si>
    <t>ambos</t>
  </si>
  <si>
    <t>ameba</t>
  </si>
  <si>
    <t>amena</t>
  </si>
  <si>
    <t>ameno</t>
  </si>
  <si>
    <t>amida</t>
  </si>
  <si>
    <t>amiga</t>
  </si>
  <si>
    <t>amigo</t>
  </si>
  <si>
    <t>amish</t>
  </si>
  <si>
    <t>amura</t>
  </si>
  <si>
    <t>añada</t>
  </si>
  <si>
    <t>ancha</t>
  </si>
  <si>
    <t>ancho</t>
  </si>
  <si>
    <t>ancla</t>
  </si>
  <si>
    <t>andar</t>
  </si>
  <si>
    <t>andas</t>
  </si>
  <si>
    <t>añeja</t>
  </si>
  <si>
    <t>añejo</t>
  </si>
  <si>
    <t>anexa</t>
  </si>
  <si>
    <t>anexo</t>
  </si>
  <si>
    <t>anime</t>
  </si>
  <si>
    <t>añojo</t>
  </si>
  <si>
    <t>ansia</t>
  </si>
  <si>
    <t>antes</t>
  </si>
  <si>
    <t>antro</t>
  </si>
  <si>
    <t>anual</t>
  </si>
  <si>
    <t>aorta</t>
  </si>
  <si>
    <t>apaño</t>
  </si>
  <si>
    <t>apear</t>
  </si>
  <si>
    <t>apego</t>
  </si>
  <si>
    <t>apero</t>
  </si>
  <si>
    <t>apnea</t>
  </si>
  <si>
    <t>apodo</t>
  </si>
  <si>
    <t>apolo</t>
  </si>
  <si>
    <t>apoyo</t>
  </si>
  <si>
    <t>apuro</t>
  </si>
  <si>
    <t>aquel</t>
  </si>
  <si>
    <t>arado</t>
  </si>
  <si>
    <t>araña</t>
  </si>
  <si>
    <t>arder</t>
  </si>
  <si>
    <t>ardid</t>
  </si>
  <si>
    <t>ardor</t>
  </si>
  <si>
    <t>ardua</t>
  </si>
  <si>
    <t>arduo</t>
  </si>
  <si>
    <t>arena</t>
  </si>
  <si>
    <t>arepa</t>
  </si>
  <si>
    <t>arete</t>
  </si>
  <si>
    <t>argot</t>
  </si>
  <si>
    <t>aries</t>
  </si>
  <si>
    <t>armar</t>
  </si>
  <si>
    <t>aroma</t>
  </si>
  <si>
    <t>arroz</t>
  </si>
  <si>
    <t>asada</t>
  </si>
  <si>
    <t>asado</t>
  </si>
  <si>
    <t>ascua</t>
  </si>
  <si>
    <t>asear</t>
  </si>
  <si>
    <t>asilo</t>
  </si>
  <si>
    <t>asomo</t>
  </si>
  <si>
    <t>astro</t>
  </si>
  <si>
    <t>astur</t>
  </si>
  <si>
    <t>atada</t>
  </si>
  <si>
    <t>atado</t>
  </si>
  <si>
    <t>atajo</t>
  </si>
  <si>
    <t>atlas</t>
  </si>
  <si>
    <t>atril</t>
  </si>
  <si>
    <t>atrio</t>
  </si>
  <si>
    <t>atroz</t>
  </si>
  <si>
    <t>audaz</t>
  </si>
  <si>
    <t>audio</t>
  </si>
  <si>
    <t>aunar</t>
  </si>
  <si>
    <t>aupar</t>
  </si>
  <si>
    <t>autor</t>
  </si>
  <si>
    <t>avara</t>
  </si>
  <si>
    <t>avaro</t>
  </si>
  <si>
    <t>avena</t>
  </si>
  <si>
    <t>aviar</t>
  </si>
  <si>
    <t>aviso</t>
  </si>
  <si>
    <t>axial</t>
  </si>
  <si>
    <t>axila</t>
  </si>
  <si>
    <t>ayuda</t>
  </si>
  <si>
    <t>ayuno</t>
  </si>
  <si>
    <t>azada</t>
  </si>
  <si>
    <t>azote</t>
  </si>
  <si>
    <t>babel</t>
  </si>
  <si>
    <t>babeo</t>
  </si>
  <si>
    <t>bable</t>
  </si>
  <si>
    <t>babor</t>
  </si>
  <si>
    <t>bache</t>
  </si>
  <si>
    <t>badil</t>
  </si>
  <si>
    <t>baile</t>
  </si>
  <si>
    <t>bajar</t>
  </si>
  <si>
    <t>bajel</t>
  </si>
  <si>
    <t>balar</t>
  </si>
  <si>
    <t>balda</t>
  </si>
  <si>
    <t>balde</t>
  </si>
  <si>
    <t>balsa</t>
  </si>
  <si>
    <t>bamba</t>
  </si>
  <si>
    <t>banal</t>
  </si>
  <si>
    <t>bañar</t>
  </si>
  <si>
    <t>banca</t>
  </si>
  <si>
    <t>banco</t>
  </si>
  <si>
    <t>banda</t>
  </si>
  <si>
    <t>bando</t>
  </si>
  <si>
    <t>banyo</t>
  </si>
  <si>
    <t>barba</t>
  </si>
  <si>
    <t>barbo</t>
  </si>
  <si>
    <t>barca</t>
  </si>
  <si>
    <t>barco</t>
  </si>
  <si>
    <t>bardo</t>
  </si>
  <si>
    <t>bario</t>
  </si>
  <si>
    <t>barra</t>
  </si>
  <si>
    <t>barro</t>
  </si>
  <si>
    <t>basal</t>
  </si>
  <si>
    <t>basar</t>
  </si>
  <si>
    <t>basta</t>
  </si>
  <si>
    <t>basto</t>
  </si>
  <si>
    <t>batea</t>
  </si>
  <si>
    <t>bateo</t>
  </si>
  <si>
    <t>batir</t>
  </si>
  <si>
    <t>bazar</t>
  </si>
  <si>
    <t>beata</t>
  </si>
  <si>
    <t>beato</t>
  </si>
  <si>
    <t>beber</t>
  </si>
  <si>
    <t>becar</t>
  </si>
  <si>
    <t>bedel</t>
  </si>
  <si>
    <t>beige</t>
  </si>
  <si>
    <t>belga</t>
  </si>
  <si>
    <t>bella</t>
  </si>
  <si>
    <t>bello</t>
  </si>
  <si>
    <t>bemol</t>
  </si>
  <si>
    <t>beoda</t>
  </si>
  <si>
    <t>beodo</t>
  </si>
  <si>
    <t>berro</t>
  </si>
  <si>
    <t>berza</t>
  </si>
  <si>
    <t>besar</t>
  </si>
  <si>
    <t>bicha</t>
  </si>
  <si>
    <t>bicho</t>
  </si>
  <si>
    <t>biela</t>
  </si>
  <si>
    <t>bifaz</t>
  </si>
  <si>
    <t>bilis</t>
  </si>
  <si>
    <t>bingo</t>
  </si>
  <si>
    <t>birra</t>
  </si>
  <si>
    <t>bisel</t>
  </si>
  <si>
    <t>bizca</t>
  </si>
  <si>
    <t>bizco</t>
  </si>
  <si>
    <t>bledo</t>
  </si>
  <si>
    <t>blues</t>
  </si>
  <si>
    <t>blusa</t>
  </si>
  <si>
    <t>boato</t>
  </si>
  <si>
    <t>bocas</t>
  </si>
  <si>
    <t>bocio</t>
  </si>
  <si>
    <t>bofia</t>
  </si>
  <si>
    <t>bogar</t>
  </si>
  <si>
    <t>boina</t>
  </si>
  <si>
    <t>boleo</t>
  </si>
  <si>
    <t>bollo</t>
  </si>
  <si>
    <t>bolsa</t>
  </si>
  <si>
    <t>bolso</t>
  </si>
  <si>
    <t>bomba</t>
  </si>
  <si>
    <t>bombo</t>
  </si>
  <si>
    <t>bongo</t>
  </si>
  <si>
    <t>bonus</t>
  </si>
  <si>
    <t>bonzo</t>
  </si>
  <si>
    <t>borda</t>
  </si>
  <si>
    <t>borde</t>
  </si>
  <si>
    <t>borla</t>
  </si>
  <si>
    <t>borna</t>
  </si>
  <si>
    <t>botar</t>
  </si>
  <si>
    <t>boxeo</t>
  </si>
  <si>
    <t>bozal</t>
  </si>
  <si>
    <t>braga</t>
  </si>
  <si>
    <t>brasa</t>
  </si>
  <si>
    <t>brava</t>
  </si>
  <si>
    <t>bravo</t>
  </si>
  <si>
    <t>braza</t>
  </si>
  <si>
    <t>brazo</t>
  </si>
  <si>
    <t>brega</t>
  </si>
  <si>
    <t>brete</t>
  </si>
  <si>
    <t>breva</t>
  </si>
  <si>
    <t>breve</t>
  </si>
  <si>
    <t>brezo</t>
  </si>
  <si>
    <t>brida</t>
  </si>
  <si>
    <t>brisa</t>
  </si>
  <si>
    <t>broca</t>
  </si>
  <si>
    <t>broma</t>
  </si>
  <si>
    <t>bromo</t>
  </si>
  <si>
    <t>brote</t>
  </si>
  <si>
    <t>bruja</t>
  </si>
  <si>
    <t>brujo</t>
  </si>
  <si>
    <t>bruma</t>
  </si>
  <si>
    <t>bruta</t>
  </si>
  <si>
    <t>bruto</t>
  </si>
  <si>
    <t>bucal</t>
  </si>
  <si>
    <t>buceo</t>
  </si>
  <si>
    <t>buche</t>
  </si>
  <si>
    <t>bucle</t>
  </si>
  <si>
    <t>buena</t>
  </si>
  <si>
    <t>bueno</t>
  </si>
  <si>
    <t>bufar</t>
  </si>
  <si>
    <t>bufet</t>
  </si>
  <si>
    <t>bulbo</t>
  </si>
  <si>
    <t>bulla</t>
  </si>
  <si>
    <t>bulto</t>
  </si>
  <si>
    <t>buque</t>
  </si>
  <si>
    <t>burda</t>
  </si>
  <si>
    <t>burdo</t>
  </si>
  <si>
    <t>buril</t>
  </si>
  <si>
    <t>burka</t>
  </si>
  <si>
    <t>burla</t>
  </si>
  <si>
    <t>burra</t>
  </si>
  <si>
    <t>burro</t>
  </si>
  <si>
    <t>busca</t>
  </si>
  <si>
    <t>busto</t>
  </si>
  <si>
    <t>buzos</t>
  </si>
  <si>
    <t>cabal</t>
  </si>
  <si>
    <t>caber</t>
  </si>
  <si>
    <t>cable</t>
  </si>
  <si>
    <t>cabra</t>
  </si>
  <si>
    <t>cacao</t>
  </si>
  <si>
    <t>cacha</t>
  </si>
  <si>
    <t>cacho</t>
  </si>
  <si>
    <t>cafre</t>
  </si>
  <si>
    <t>cagar</t>
  </si>
  <si>
    <t>cague</t>
  </si>
  <si>
    <t>calar</t>
  </si>
  <si>
    <t>calce</t>
  </si>
  <si>
    <t>calco</t>
  </si>
  <si>
    <t>caldo</t>
  </si>
  <si>
    <t>calle</t>
  </si>
  <si>
    <t>callo</t>
  </si>
  <si>
    <t>calma</t>
  </si>
  <si>
    <t>calmo</t>
  </si>
  <si>
    <t>calor</t>
  </si>
  <si>
    <t>calva</t>
  </si>
  <si>
    <t>calvo</t>
  </si>
  <si>
    <t>calza</t>
  </si>
  <si>
    <t>calzo</t>
  </si>
  <si>
    <t>cameo</t>
  </si>
  <si>
    <t>campa</t>
  </si>
  <si>
    <t>campo</t>
  </si>
  <si>
    <t>canal</t>
  </si>
  <si>
    <t>canje</t>
  </si>
  <si>
    <t>canoa</t>
  </si>
  <si>
    <t>canon</t>
  </si>
  <si>
    <t>cansa</t>
  </si>
  <si>
    <t>canso</t>
  </si>
  <si>
    <t>cante</t>
  </si>
  <si>
    <t>canto</t>
  </si>
  <si>
    <t>caoba</t>
  </si>
  <si>
    <t>capaz</t>
  </si>
  <si>
    <t>capea</t>
  </si>
  <si>
    <t>capeo</t>
  </si>
  <si>
    <t>caqui</t>
  </si>
  <si>
    <t>caray</t>
  </si>
  <si>
    <t>carca</t>
  </si>
  <si>
    <t>cardo</t>
  </si>
  <si>
    <t>careo</t>
  </si>
  <si>
    <t>carga</t>
  </si>
  <si>
    <t>cargo</t>
  </si>
  <si>
    <t>cariz</t>
  </si>
  <si>
    <t>carne</t>
  </si>
  <si>
    <t>carpa</t>
  </si>
  <si>
    <t>carpo</t>
  </si>
  <si>
    <t>carro</t>
  </si>
  <si>
    <t>carta</t>
  </si>
  <si>
    <t>casar</t>
  </si>
  <si>
    <t>casco</t>
  </si>
  <si>
    <t>caspa</t>
  </si>
  <si>
    <t>casta</t>
  </si>
  <si>
    <t>casto</t>
  </si>
  <si>
    <t>catar</t>
  </si>
  <si>
    <t>cateo</t>
  </si>
  <si>
    <t>catey</t>
  </si>
  <si>
    <t>catre</t>
  </si>
  <si>
    <t>cauce</t>
  </si>
  <si>
    <t>causa</t>
  </si>
  <si>
    <t>cauta</t>
  </si>
  <si>
    <t>cauto</t>
  </si>
  <si>
    <t>cavar</t>
  </si>
  <si>
    <t>cazar</t>
  </si>
  <si>
    <t>cebra</t>
  </si>
  <si>
    <t>ceceo</t>
  </si>
  <si>
    <t>ceder</t>
  </si>
  <si>
    <t>cedro</t>
  </si>
  <si>
    <t>cegar</t>
  </si>
  <si>
    <t>cejar</t>
  </si>
  <si>
    <t>celda</t>
  </si>
  <si>
    <t>cello</t>
  </si>
  <si>
    <t>celta</t>
  </si>
  <si>
    <t>cenar</t>
  </si>
  <si>
    <t>ceñir</t>
  </si>
  <si>
    <t>censo</t>
  </si>
  <si>
    <t>cerca</t>
  </si>
  <si>
    <t>cerco</t>
  </si>
  <si>
    <t>cerda</t>
  </si>
  <si>
    <t>cerdo</t>
  </si>
  <si>
    <t>cerio</t>
  </si>
  <si>
    <t>cerro</t>
  </si>
  <si>
    <t>cesio</t>
  </si>
  <si>
    <t>cesta</t>
  </si>
  <si>
    <t>cesto</t>
  </si>
  <si>
    <t>cetro</t>
  </si>
  <si>
    <t>chapa</t>
  </si>
  <si>
    <t>chapo</t>
  </si>
  <si>
    <t>chata</t>
  </si>
  <si>
    <t>chato</t>
  </si>
  <si>
    <t>chavo</t>
  </si>
  <si>
    <t>chelo</t>
  </si>
  <si>
    <t>chepa</t>
  </si>
  <si>
    <t>chepo</t>
  </si>
  <si>
    <t>chica</t>
  </si>
  <si>
    <t>chico</t>
  </si>
  <si>
    <t>chile</t>
  </si>
  <si>
    <t>chili</t>
  </si>
  <si>
    <t>china</t>
  </si>
  <si>
    <t>chino</t>
  </si>
  <si>
    <t>chipe</t>
  </si>
  <si>
    <t>chivo</t>
  </si>
  <si>
    <t>choco</t>
  </si>
  <si>
    <t>chola</t>
  </si>
  <si>
    <t>choni</t>
  </si>
  <si>
    <t>chopo</t>
  </si>
  <si>
    <t>chota</t>
  </si>
  <si>
    <t>choto</t>
  </si>
  <si>
    <t>choza</t>
  </si>
  <si>
    <t>chufa</t>
  </si>
  <si>
    <t>chula</t>
  </si>
  <si>
    <t>chulo</t>
  </si>
  <si>
    <t>chupa</t>
  </si>
  <si>
    <t>chupi</t>
  </si>
  <si>
    <t>chute</t>
  </si>
  <si>
    <t>chuzo</t>
  </si>
  <si>
    <t>ciclo</t>
  </si>
  <si>
    <t>ciega</t>
  </si>
  <si>
    <t>ciego</t>
  </si>
  <si>
    <t>cielo</t>
  </si>
  <si>
    <t>cieno</t>
  </si>
  <si>
    <t>cifra</t>
  </si>
  <si>
    <t>cinco</t>
  </si>
  <si>
    <t>cinta</t>
  </si>
  <si>
    <t>cinto</t>
  </si>
  <si>
    <t>circo</t>
  </si>
  <si>
    <t>cirio</t>
  </si>
  <si>
    <t>cisco</t>
  </si>
  <si>
    <t>cisma</t>
  </si>
  <si>
    <t>cisne</t>
  </si>
  <si>
    <t>citar</t>
  </si>
  <si>
    <t>civil</t>
  </si>
  <si>
    <t>clara</t>
  </si>
  <si>
    <t>claro</t>
  </si>
  <si>
    <t>clase</t>
  </si>
  <si>
    <t>clava</t>
  </si>
  <si>
    <t>clave</t>
  </si>
  <si>
    <t>clavo</t>
  </si>
  <si>
    <t>clema</t>
  </si>
  <si>
    <t>clero</t>
  </si>
  <si>
    <t>clima</t>
  </si>
  <si>
    <t>cloro</t>
  </si>
  <si>
    <t>cobra</t>
  </si>
  <si>
    <t>cobre</t>
  </si>
  <si>
    <t>cobro</t>
  </si>
  <si>
    <t>cocer</t>
  </si>
  <si>
    <t>coche</t>
  </si>
  <si>
    <t>cofia</t>
  </si>
  <si>
    <t>cofre</t>
  </si>
  <si>
    <t>coger</t>
  </si>
  <si>
    <t>coito</t>
  </si>
  <si>
    <t>colar</t>
  </si>
  <si>
    <t>colmo</t>
  </si>
  <si>
    <t>colon</t>
  </si>
  <si>
    <t>color</t>
  </si>
  <si>
    <t>colza</t>
  </si>
  <si>
    <t>comba</t>
  </si>
  <si>
    <t>combi</t>
  </si>
  <si>
    <t>combo</t>
  </si>
  <si>
    <t>comer</t>
  </si>
  <si>
    <t>compi</t>
  </si>
  <si>
    <t>coñac</t>
  </si>
  <si>
    <t>conga</t>
  </si>
  <si>
    <t>copla</t>
  </si>
  <si>
    <t>copto</t>
  </si>
  <si>
    <t>coral</t>
  </si>
  <si>
    <t>corro</t>
  </si>
  <si>
    <t>corso</t>
  </si>
  <si>
    <t>corta</t>
  </si>
  <si>
    <t>corte</t>
  </si>
  <si>
    <t>corto</t>
  </si>
  <si>
    <t>corva</t>
  </si>
  <si>
    <t>corzo</t>
  </si>
  <si>
    <t>coser</t>
  </si>
  <si>
    <t>costa</t>
  </si>
  <si>
    <t>coste</t>
  </si>
  <si>
    <t>costo</t>
  </si>
  <si>
    <t>coxis</t>
  </si>
  <si>
    <t>crack</t>
  </si>
  <si>
    <t>crash</t>
  </si>
  <si>
    <t>craso</t>
  </si>
  <si>
    <t>crear</t>
  </si>
  <si>
    <t>credo</t>
  </si>
  <si>
    <t>creer</t>
  </si>
  <si>
    <t>crema</t>
  </si>
  <si>
    <t>crepe</t>
  </si>
  <si>
    <t>criar</t>
  </si>
  <si>
    <t>criba</t>
  </si>
  <si>
    <t>croar</t>
  </si>
  <si>
    <t>croma</t>
  </si>
  <si>
    <t>cromo</t>
  </si>
  <si>
    <t>crono</t>
  </si>
  <si>
    <t>cross</t>
  </si>
  <si>
    <t>cruce</t>
  </si>
  <si>
    <t>cruda</t>
  </si>
  <si>
    <t>crudo</t>
  </si>
  <si>
    <t>cruel</t>
  </si>
  <si>
    <t>cuajo</t>
  </si>
  <si>
    <t>cuark</t>
  </si>
  <si>
    <t>cubil</t>
  </si>
  <si>
    <t>cuero</t>
  </si>
  <si>
    <t>cueva</t>
  </si>
  <si>
    <t>cuezo</t>
  </si>
  <si>
    <t>culpa</t>
  </si>
  <si>
    <t>culta</t>
  </si>
  <si>
    <t>culto</t>
  </si>
  <si>
    <t>cuota</t>
  </si>
  <si>
    <t>curar</t>
  </si>
  <si>
    <t>curda</t>
  </si>
  <si>
    <t>curdo</t>
  </si>
  <si>
    <t>curia</t>
  </si>
  <si>
    <t>curri</t>
  </si>
  <si>
    <t>curro</t>
  </si>
  <si>
    <t>curry</t>
  </si>
  <si>
    <t>cursi</t>
  </si>
  <si>
    <t>curso</t>
  </si>
  <si>
    <t>curva</t>
  </si>
  <si>
    <t>curvo</t>
  </si>
  <si>
    <t>cutis</t>
  </si>
  <si>
    <t>cutre</t>
  </si>
  <si>
    <t>dacha</t>
  </si>
  <si>
    <t>dador</t>
  </si>
  <si>
    <t>dalia</t>
  </si>
  <si>
    <t>dañar</t>
  </si>
  <si>
    <t>danza</t>
  </si>
  <si>
    <t>dardo</t>
  </si>
  <si>
    <t>datar</t>
  </si>
  <si>
    <t>deber</t>
  </si>
  <si>
    <t>debut</t>
  </si>
  <si>
    <t>decir</t>
  </si>
  <si>
    <t>dedal</t>
  </si>
  <si>
    <t>deesa</t>
  </si>
  <si>
    <t>dejar</t>
  </si>
  <si>
    <t>delio</t>
  </si>
  <si>
    <t>delta</t>
  </si>
  <si>
    <t>densa</t>
  </si>
  <si>
    <t>denso</t>
  </si>
  <si>
    <t>derbi</t>
  </si>
  <si>
    <t>desde</t>
  </si>
  <si>
    <t>deseo</t>
  </si>
  <si>
    <t>deuda</t>
  </si>
  <si>
    <t>diana</t>
  </si>
  <si>
    <t>dicha</t>
  </si>
  <si>
    <t>dicho</t>
  </si>
  <si>
    <t>dieta</t>
  </si>
  <si>
    <t>digna</t>
  </si>
  <si>
    <t>digno</t>
  </si>
  <si>
    <t>dimes</t>
  </si>
  <si>
    <t>dinar</t>
  </si>
  <si>
    <t>diodo</t>
  </si>
  <si>
    <t>diosa</t>
  </si>
  <si>
    <t>dique</t>
  </si>
  <si>
    <t>disco</t>
  </si>
  <si>
    <t>doble</t>
  </si>
  <si>
    <t>docta</t>
  </si>
  <si>
    <t>docto</t>
  </si>
  <si>
    <t>dogma</t>
  </si>
  <si>
    <t>doler</t>
  </si>
  <si>
    <t>dolor</t>
  </si>
  <si>
    <t>domar</t>
  </si>
  <si>
    <t>donar</t>
  </si>
  <si>
    <t>donde</t>
  </si>
  <si>
    <t>dopar</t>
  </si>
  <si>
    <t>dorar</t>
  </si>
  <si>
    <t>dorso</t>
  </si>
  <si>
    <t>dosel</t>
  </si>
  <si>
    <t>dosis</t>
  </si>
  <si>
    <t>dotar</t>
  </si>
  <si>
    <t>draga</t>
  </si>
  <si>
    <t>drago</t>
  </si>
  <si>
    <t>drama</t>
  </si>
  <si>
    <t>driza</t>
  </si>
  <si>
    <t>droga</t>
  </si>
  <si>
    <t>ducal</t>
  </si>
  <si>
    <t>ducha</t>
  </si>
  <si>
    <t>ducho</t>
  </si>
  <si>
    <t>dudar</t>
  </si>
  <si>
    <t>duelo</t>
  </si>
  <si>
    <t>dueña</t>
  </si>
  <si>
    <t>dueño</t>
  </si>
  <si>
    <t>dueto</t>
  </si>
  <si>
    <t>dulce</t>
  </si>
  <si>
    <t>dupla</t>
  </si>
  <si>
    <t>duplo</t>
  </si>
  <si>
    <t>duque</t>
  </si>
  <si>
    <t>durar</t>
  </si>
  <si>
    <t>ebria</t>
  </si>
  <si>
    <t>ebrio</t>
  </si>
  <si>
    <t>echar</t>
  </si>
  <si>
    <t>edema</t>
  </si>
  <si>
    <t>efebo</t>
  </si>
  <si>
    <t>ellas</t>
  </si>
  <si>
    <t>ellos</t>
  </si>
  <si>
    <t>emoji</t>
  </si>
  <si>
    <t>enana</t>
  </si>
  <si>
    <t>enano</t>
  </si>
  <si>
    <t>enema</t>
  </si>
  <si>
    <t>enero</t>
  </si>
  <si>
    <t>enojo</t>
  </si>
  <si>
    <t>entre</t>
  </si>
  <si>
    <t>epoxi</t>
  </si>
  <si>
    <t>equis</t>
  </si>
  <si>
    <t>erbio</t>
  </si>
  <si>
    <t>erial</t>
  </si>
  <si>
    <t>erizo</t>
  </si>
  <si>
    <t>errar</t>
  </si>
  <si>
    <t>error</t>
  </si>
  <si>
    <t>esnob</t>
  </si>
  <si>
    <t>estar</t>
  </si>
  <si>
    <t>estas</t>
  </si>
  <si>
    <t>estor</t>
  </si>
  <si>
    <t>estos</t>
  </si>
  <si>
    <t>etano</t>
  </si>
  <si>
    <t>etapa</t>
  </si>
  <si>
    <t>etnia</t>
  </si>
  <si>
    <t>extra</t>
  </si>
  <si>
    <t>facha</t>
  </si>
  <si>
    <t>facto</t>
  </si>
  <si>
    <t>faena</t>
  </si>
  <si>
    <t>fagot</t>
  </si>
  <si>
    <t>fajar</t>
  </si>
  <si>
    <t>falaz</t>
  </si>
  <si>
    <t>falda</t>
  </si>
  <si>
    <t>falla</t>
  </si>
  <si>
    <t>fallo</t>
  </si>
  <si>
    <t>falsa</t>
  </si>
  <si>
    <t>falta</t>
  </si>
  <si>
    <t>falto</t>
  </si>
  <si>
    <t>fango</t>
  </si>
  <si>
    <t>fardo</t>
  </si>
  <si>
    <t>faria</t>
  </si>
  <si>
    <t>fario</t>
  </si>
  <si>
    <t>farol</t>
  </si>
  <si>
    <t>farra</t>
  </si>
  <si>
    <t>farsa</t>
  </si>
  <si>
    <t>fatal</t>
  </si>
  <si>
    <t>fatuo</t>
  </si>
  <si>
    <t>fauna</t>
  </si>
  <si>
    <t>fauno</t>
  </si>
  <si>
    <t>favor</t>
  </si>
  <si>
    <t>fecal</t>
  </si>
  <si>
    <t>fecha</t>
  </si>
  <si>
    <t>feliz</t>
  </si>
  <si>
    <t>felpa</t>
  </si>
  <si>
    <t>fenol</t>
  </si>
  <si>
    <t>feria</t>
  </si>
  <si>
    <t>feroz</t>
  </si>
  <si>
    <t>ferry</t>
  </si>
  <si>
    <t>fetal</t>
  </si>
  <si>
    <t>feudo</t>
  </si>
  <si>
    <t>fiada</t>
  </si>
  <si>
    <t>fiado</t>
  </si>
  <si>
    <t>fibra</t>
  </si>
  <si>
    <t>ficha</t>
  </si>
  <si>
    <t>ficus</t>
  </si>
  <si>
    <t>fideo</t>
  </si>
  <si>
    <t>fiera</t>
  </si>
  <si>
    <t>fiero</t>
  </si>
  <si>
    <t>fijar</t>
  </si>
  <si>
    <t>filia</t>
  </si>
  <si>
    <t>final</t>
  </si>
  <si>
    <t>finar</t>
  </si>
  <si>
    <t>finca</t>
  </si>
  <si>
    <t>finde</t>
  </si>
  <si>
    <t>finta</t>
  </si>
  <si>
    <t>firma</t>
  </si>
  <si>
    <t>firme</t>
  </si>
  <si>
    <t>fisco</t>
  </si>
  <si>
    <t>fisio</t>
  </si>
  <si>
    <t>flaca</t>
  </si>
  <si>
    <t>flaco</t>
  </si>
  <si>
    <t>flash</t>
  </si>
  <si>
    <t>flato</t>
  </si>
  <si>
    <t>fleco</t>
  </si>
  <si>
    <t>fleje</t>
  </si>
  <si>
    <t>flema</t>
  </si>
  <si>
    <t>flete</t>
  </si>
  <si>
    <t>flexo</t>
  </si>
  <si>
    <t>flipe</t>
  </si>
  <si>
    <t>floja</t>
  </si>
  <si>
    <t>flojo</t>
  </si>
  <si>
    <t>flora</t>
  </si>
  <si>
    <t>flota</t>
  </si>
  <si>
    <t>flote</t>
  </si>
  <si>
    <t>fluir</t>
  </si>
  <si>
    <t>flujo</t>
  </si>
  <si>
    <t>fobia</t>
  </si>
  <si>
    <t>focal</t>
  </si>
  <si>
    <t>folio</t>
  </si>
  <si>
    <t>fonda</t>
  </si>
  <si>
    <t>fondo</t>
  </si>
  <si>
    <t>foque</t>
  </si>
  <si>
    <t>foral</t>
  </si>
  <si>
    <t>forja</t>
  </si>
  <si>
    <t>forma</t>
  </si>
  <si>
    <t>forro</t>
  </si>
  <si>
    <t>frase</t>
  </si>
  <si>
    <t>freno</t>
  </si>
  <si>
    <t>fresa</t>
  </si>
  <si>
    <t>frigo</t>
  </si>
  <si>
    <t>friki</t>
  </si>
  <si>
    <t>friso</t>
  </si>
  <si>
    <t>frita</t>
  </si>
  <si>
    <t>frito</t>
  </si>
  <si>
    <t>frote</t>
  </si>
  <si>
    <t>fruta</t>
  </si>
  <si>
    <t>fruto</t>
  </si>
  <si>
    <t>fudre</t>
  </si>
  <si>
    <t>fuego</t>
  </si>
  <si>
    <t>fuera</t>
  </si>
  <si>
    <t>fuero</t>
  </si>
  <si>
    <t>fugaz</t>
  </si>
  <si>
    <t>fular</t>
  </si>
  <si>
    <t>fumar</t>
  </si>
  <si>
    <t>funda</t>
  </si>
  <si>
    <t>furia</t>
  </si>
  <si>
    <t>furor</t>
  </si>
  <si>
    <t>fusil</t>
  </si>
  <si>
    <t>fusta</t>
  </si>
  <si>
    <t>fuste</t>
  </si>
  <si>
    <t>gacha</t>
  </si>
  <si>
    <t>gafar</t>
  </si>
  <si>
    <t>gaita</t>
  </si>
  <si>
    <t>galga</t>
  </si>
  <si>
    <t>galgo</t>
  </si>
  <si>
    <t>galio</t>
  </si>
  <si>
    <t>gallo</t>
  </si>
  <si>
    <t>gamba</t>
  </si>
  <si>
    <t>gamma</t>
  </si>
  <si>
    <t>ganar</t>
  </si>
  <si>
    <t>ganga</t>
  </si>
  <si>
    <t>gansa</t>
  </si>
  <si>
    <t>ganso</t>
  </si>
  <si>
    <t>garbo</t>
  </si>
  <si>
    <t>garra</t>
  </si>
  <si>
    <t>garza</t>
  </si>
  <si>
    <t>gasto</t>
  </si>
  <si>
    <t>gatas</t>
  </si>
  <si>
    <t>gateo</t>
  </si>
  <si>
    <t>gavia</t>
  </si>
  <si>
    <t>gemir</t>
  </si>
  <si>
    <t>genio</t>
  </si>
  <si>
    <t>gente</t>
  </si>
  <si>
    <t>geoda</t>
  </si>
  <si>
    <t>gesta</t>
  </si>
  <si>
    <t>gesto</t>
  </si>
  <si>
    <t>girar</t>
  </si>
  <si>
    <t>glifo</t>
  </si>
  <si>
    <t>globo</t>
  </si>
  <si>
    <t>gnomo</t>
  </si>
  <si>
    <t>gobio</t>
  </si>
  <si>
    <t>gocha</t>
  </si>
  <si>
    <t>gocho</t>
  </si>
  <si>
    <t>gofre</t>
  </si>
  <si>
    <t>goles</t>
  </si>
  <si>
    <t>golfa</t>
  </si>
  <si>
    <t>golfo</t>
  </si>
  <si>
    <t>golpe</t>
  </si>
  <si>
    <t>gorda</t>
  </si>
  <si>
    <t>gordo</t>
  </si>
  <si>
    <t>gorja</t>
  </si>
  <si>
    <t>gorra</t>
  </si>
  <si>
    <t>gorro</t>
  </si>
  <si>
    <t>goteo</t>
  </si>
  <si>
    <t>gozar</t>
  </si>
  <si>
    <t>gozne</t>
  </si>
  <si>
    <t>grada</t>
  </si>
  <si>
    <t>grado</t>
  </si>
  <si>
    <t>grajo</t>
  </si>
  <si>
    <t>gramo</t>
  </si>
  <si>
    <t>grana</t>
  </si>
  <si>
    <t>grano</t>
  </si>
  <si>
    <t>grapa</t>
  </si>
  <si>
    <t>grasa</t>
  </si>
  <si>
    <t>graso</t>
  </si>
  <si>
    <t>grata</t>
  </si>
  <si>
    <t>grato</t>
  </si>
  <si>
    <t>grava</t>
  </si>
  <si>
    <t>grave</t>
  </si>
  <si>
    <t>greca</t>
  </si>
  <si>
    <t>grelo</t>
  </si>
  <si>
    <t>greña</t>
  </si>
  <si>
    <t>grial</t>
  </si>
  <si>
    <t>grifa</t>
  </si>
  <si>
    <t>grifo</t>
  </si>
  <si>
    <t>grill</t>
  </si>
  <si>
    <t>grima</t>
  </si>
  <si>
    <t>gripe</t>
  </si>
  <si>
    <t>grito</t>
  </si>
  <si>
    <t>grumo</t>
  </si>
  <si>
    <t>grupa</t>
  </si>
  <si>
    <t>grupo</t>
  </si>
  <si>
    <t>gruta</t>
  </si>
  <si>
    <t>guaje</t>
  </si>
  <si>
    <t>guano</t>
  </si>
  <si>
    <t>guapa</t>
  </si>
  <si>
    <t>guapo</t>
  </si>
  <si>
    <t>guasa</t>
  </si>
  <si>
    <t>guata</t>
  </si>
  <si>
    <t>gueto</t>
  </si>
  <si>
    <t>guiar</t>
  </si>
  <si>
    <t>guiño</t>
  </si>
  <si>
    <t>guion</t>
  </si>
  <si>
    <t>guiri</t>
  </si>
  <si>
    <t>guisa</t>
  </si>
  <si>
    <t>guiso</t>
  </si>
  <si>
    <t>gulag</t>
  </si>
  <si>
    <t>gules</t>
  </si>
  <si>
    <t>gusto</t>
  </si>
  <si>
    <t>haber</t>
  </si>
  <si>
    <t>habla</t>
  </si>
  <si>
    <t>hacer</t>
  </si>
  <si>
    <t>hacha</t>
  </si>
  <si>
    <t>hache</t>
  </si>
  <si>
    <t>hacia</t>
  </si>
  <si>
    <t>halal</t>
  </si>
  <si>
    <t>halar</t>
  </si>
  <si>
    <t>hampa</t>
  </si>
  <si>
    <t>haras</t>
  </si>
  <si>
    <t>harpa</t>
  </si>
  <si>
    <t>harta</t>
  </si>
  <si>
    <t>harto</t>
  </si>
  <si>
    <t>hasta</t>
  </si>
  <si>
    <t>hebra</t>
  </si>
  <si>
    <t>hecha</t>
  </si>
  <si>
    <t>hecho</t>
  </si>
  <si>
    <t>hedor</t>
  </si>
  <si>
    <t>helar</t>
  </si>
  <si>
    <t>helio</t>
  </si>
  <si>
    <t>henna</t>
  </si>
  <si>
    <t>herir</t>
  </si>
  <si>
    <t>hiato</t>
  </si>
  <si>
    <t>hidra</t>
  </si>
  <si>
    <t>hielo</t>
  </si>
  <si>
    <t>hiena</t>
  </si>
  <si>
    <t>hilar</t>
  </si>
  <si>
    <t>himen</t>
  </si>
  <si>
    <t>himno</t>
  </si>
  <si>
    <t>hinco</t>
  </si>
  <si>
    <t>hipar</t>
  </si>
  <si>
    <t>hippy</t>
  </si>
  <si>
    <t>hobby</t>
  </si>
  <si>
    <t>hogar</t>
  </si>
  <si>
    <t>honda</t>
  </si>
  <si>
    <t>hondo</t>
  </si>
  <si>
    <t>hongo</t>
  </si>
  <si>
    <t>honor</t>
  </si>
  <si>
    <t>honra</t>
  </si>
  <si>
    <t>horca</t>
  </si>
  <si>
    <t>horco</t>
  </si>
  <si>
    <t>horda</t>
  </si>
  <si>
    <t>horma</t>
  </si>
  <si>
    <t>horno</t>
  </si>
  <si>
    <t>hosca</t>
  </si>
  <si>
    <t>hosco</t>
  </si>
  <si>
    <t>hotel</t>
  </si>
  <si>
    <t>hucha</t>
  </si>
  <si>
    <t>hueca</t>
  </si>
  <si>
    <t>hueco</t>
  </si>
  <si>
    <t>hueso</t>
  </si>
  <si>
    <t>hueva</t>
  </si>
  <si>
    <t>huevo</t>
  </si>
  <si>
    <t>huida</t>
  </si>
  <si>
    <t>huido</t>
  </si>
  <si>
    <t>hulla</t>
  </si>
  <si>
    <t>humor</t>
  </si>
  <si>
    <t>humus</t>
  </si>
  <si>
    <t>hurra</t>
  </si>
  <si>
    <t>hurto</t>
  </si>
  <si>
    <t>icono</t>
  </si>
  <si>
    <t>ictus</t>
  </si>
  <si>
    <t>ideal</t>
  </si>
  <si>
    <t>idear</t>
  </si>
  <si>
    <t>igual</t>
  </si>
  <si>
    <t>ijada</t>
  </si>
  <si>
    <t>ilesa</t>
  </si>
  <si>
    <t>ileso</t>
  </si>
  <si>
    <t>ilusa</t>
  </si>
  <si>
    <t>iluso</t>
  </si>
  <si>
    <t>impar</t>
  </si>
  <si>
    <t>india</t>
  </si>
  <si>
    <t>indio</t>
  </si>
  <si>
    <t>ingle</t>
  </si>
  <si>
    <t>intro</t>
  </si>
  <si>
    <t>islam</t>
  </si>
  <si>
    <t>istmo</t>
  </si>
  <si>
    <t>itrio</t>
  </si>
  <si>
    <t>izada</t>
  </si>
  <si>
    <t>izado</t>
  </si>
  <si>
    <t>jadeo</t>
  </si>
  <si>
    <t>jalar</t>
  </si>
  <si>
    <t>jalea</t>
  </si>
  <si>
    <t>jaleo</t>
  </si>
  <si>
    <t>jamar</t>
  </si>
  <si>
    <t>jamba</t>
  </si>
  <si>
    <t>jambo</t>
  </si>
  <si>
    <t>jaque</t>
  </si>
  <si>
    <t>jarra</t>
  </si>
  <si>
    <t>jarro</t>
  </si>
  <si>
    <t>jauja</t>
  </si>
  <si>
    <t>jaula</t>
  </si>
  <si>
    <t>jeque</t>
  </si>
  <si>
    <t>jerez</t>
  </si>
  <si>
    <t>jerga</t>
  </si>
  <si>
    <t>jibia</t>
  </si>
  <si>
    <t>jijas</t>
  </si>
  <si>
    <t>jondo</t>
  </si>
  <si>
    <t>joven</t>
  </si>
  <si>
    <t>judas</t>
  </si>
  <si>
    <t>juego</t>
  </si>
  <si>
    <t>jueza</t>
  </si>
  <si>
    <t>jugar</t>
  </si>
  <si>
    <t>julio</t>
  </si>
  <si>
    <t>junco</t>
  </si>
  <si>
    <t>junio</t>
  </si>
  <si>
    <t>junta</t>
  </si>
  <si>
    <t>junto</t>
  </si>
  <si>
    <t>jurar</t>
  </si>
  <si>
    <t>jurel</t>
  </si>
  <si>
    <t>justa</t>
  </si>
  <si>
    <t>justo</t>
  </si>
  <si>
    <t>karma</t>
  </si>
  <si>
    <t>kayak</t>
  </si>
  <si>
    <t>kebab</t>
  </si>
  <si>
    <t>koala</t>
  </si>
  <si>
    <t>labia</t>
  </si>
  <si>
    <t>labio</t>
  </si>
  <si>
    <t>labor</t>
  </si>
  <si>
    <t>lacia</t>
  </si>
  <si>
    <t>lacio</t>
  </si>
  <si>
    <t>lacra</t>
  </si>
  <si>
    <t>lacre</t>
  </si>
  <si>
    <t>ladeo</t>
  </si>
  <si>
    <t>lagar</t>
  </si>
  <si>
    <t>laica</t>
  </si>
  <si>
    <t>laico</t>
  </si>
  <si>
    <t>lamer</t>
  </si>
  <si>
    <t>lance</t>
  </si>
  <si>
    <t>lanza</t>
  </si>
  <si>
    <t>lapso</t>
  </si>
  <si>
    <t>larga</t>
  </si>
  <si>
    <t>largo</t>
  </si>
  <si>
    <t>larva</t>
  </si>
  <si>
    <t>lasca</t>
  </si>
  <si>
    <t>latir</t>
  </si>
  <si>
    <t>laudo</t>
  </si>
  <si>
    <t>lavar</t>
  </si>
  <si>
    <t>leche</t>
  </si>
  <si>
    <t>lecho</t>
  </si>
  <si>
    <t>legal</t>
  </si>
  <si>
    <t>legar</t>
  </si>
  <si>
    <t>legua</t>
  </si>
  <si>
    <t>lejos</t>
  </si>
  <si>
    <t>lenta</t>
  </si>
  <si>
    <t>lente</t>
  </si>
  <si>
    <t>lento</t>
  </si>
  <si>
    <t>leona</t>
  </si>
  <si>
    <t>lepra</t>
  </si>
  <si>
    <t>lerda</t>
  </si>
  <si>
    <t>lerdo</t>
  </si>
  <si>
    <t>letal</t>
  </si>
  <si>
    <t>letra</t>
  </si>
  <si>
    <t>liana</t>
  </si>
  <si>
    <t>libar</t>
  </si>
  <si>
    <t>libra</t>
  </si>
  <si>
    <t>libre</t>
  </si>
  <si>
    <t>libro</t>
  </si>
  <si>
    <t>liceo</t>
  </si>
  <si>
    <t>lichi</t>
  </si>
  <si>
    <t>licor</t>
  </si>
  <si>
    <t>licra</t>
  </si>
  <si>
    <t>lidia</t>
  </si>
  <si>
    <t>ligar</t>
  </si>
  <si>
    <t>ligue</t>
  </si>
  <si>
    <t>lijar</t>
  </si>
  <si>
    <t>limar</t>
  </si>
  <si>
    <t>limbo</t>
  </si>
  <si>
    <t>lince</t>
  </si>
  <si>
    <t>linda</t>
  </si>
  <si>
    <t>linde</t>
  </si>
  <si>
    <t>lindo</t>
  </si>
  <si>
    <t>liosa</t>
  </si>
  <si>
    <t>lioso</t>
  </si>
  <si>
    <t>liria</t>
  </si>
  <si>
    <t>lirio</t>
  </si>
  <si>
    <t>lista</t>
  </si>
  <si>
    <t>listo</t>
  </si>
  <si>
    <t>litio</t>
  </si>
  <si>
    <t>litro</t>
  </si>
  <si>
    <t>llaga</t>
  </si>
  <si>
    <t>llama</t>
  </si>
  <si>
    <t>llana</t>
  </si>
  <si>
    <t>llano</t>
  </si>
  <si>
    <t>llave</t>
  </si>
  <si>
    <t>llena</t>
  </si>
  <si>
    <t>lleno</t>
  </si>
  <si>
    <t>lloro</t>
  </si>
  <si>
    <t>local</t>
  </si>
  <si>
    <t>logia</t>
  </si>
  <si>
    <t>logro</t>
  </si>
  <si>
    <t>lonja</t>
  </si>
  <si>
    <t>lorza</t>
  </si>
  <si>
    <t>lucha</t>
  </si>
  <si>
    <t>lucio</t>
  </si>
  <si>
    <t>lucir</t>
  </si>
  <si>
    <t>luego</t>
  </si>
  <si>
    <t>lugar</t>
  </si>
  <si>
    <t>lumen</t>
  </si>
  <si>
    <t>lunar</t>
  </si>
  <si>
    <t>lunes</t>
  </si>
  <si>
    <t>lupus</t>
  </si>
  <si>
    <t>lycra</t>
  </si>
  <si>
    <t>macha</t>
  </si>
  <si>
    <t>macho</t>
  </si>
  <si>
    <t>macla</t>
  </si>
  <si>
    <t>macro</t>
  </si>
  <si>
    <t>madre</t>
  </si>
  <si>
    <t>maese</t>
  </si>
  <si>
    <t>mafia</t>
  </si>
  <si>
    <t>magia</t>
  </si>
  <si>
    <t>magma</t>
  </si>
  <si>
    <t>magna</t>
  </si>
  <si>
    <t>magno</t>
  </si>
  <si>
    <t>magra</t>
  </si>
  <si>
    <t>magro</t>
  </si>
  <si>
    <t>majar</t>
  </si>
  <si>
    <t>malla</t>
  </si>
  <si>
    <t>malta</t>
  </si>
  <si>
    <t>malva</t>
  </si>
  <si>
    <t>mamar</t>
  </si>
  <si>
    <t>mamba</t>
  </si>
  <si>
    <t>mambo</t>
  </si>
  <si>
    <t>mamut</t>
  </si>
  <si>
    <t>manar</t>
  </si>
  <si>
    <t>manca</t>
  </si>
  <si>
    <t>manco</t>
  </si>
  <si>
    <t>mando</t>
  </si>
  <si>
    <t>manga</t>
  </si>
  <si>
    <t>mango</t>
  </si>
  <si>
    <t>mansa</t>
  </si>
  <si>
    <t>manso</t>
  </si>
  <si>
    <t>manta</t>
  </si>
  <si>
    <t>manto</t>
  </si>
  <si>
    <t>mapeo</t>
  </si>
  <si>
    <t>maqui</t>
  </si>
  <si>
    <t>marca</t>
  </si>
  <si>
    <t>marco</t>
  </si>
  <si>
    <t>marea</t>
  </si>
  <si>
    <t>mareo</t>
  </si>
  <si>
    <t>marta</t>
  </si>
  <si>
    <t>marte</t>
  </si>
  <si>
    <t>marzo</t>
  </si>
  <si>
    <t>matar</t>
  </si>
  <si>
    <t>mates</t>
  </si>
  <si>
    <t>matiz</t>
  </si>
  <si>
    <t>maula</t>
  </si>
  <si>
    <t>mayor</t>
  </si>
  <si>
    <t>mazar</t>
  </si>
  <si>
    <t>meada</t>
  </si>
  <si>
    <t>meado</t>
  </si>
  <si>
    <t>mecer</t>
  </si>
  <si>
    <t>mecha</t>
  </si>
  <si>
    <t>media</t>
  </si>
  <si>
    <t>medio</t>
  </si>
  <si>
    <t>medir</t>
  </si>
  <si>
    <t>meiga</t>
  </si>
  <si>
    <t>mejor</t>
  </si>
  <si>
    <t>mella</t>
  </si>
  <si>
    <t>melva</t>
  </si>
  <si>
    <t>memez</t>
  </si>
  <si>
    <t>menda</t>
  </si>
  <si>
    <t>meneo</t>
  </si>
  <si>
    <t>menor</t>
  </si>
  <si>
    <t>menos</t>
  </si>
  <si>
    <t>menta</t>
  </si>
  <si>
    <t>mente</t>
  </si>
  <si>
    <t>meona</t>
  </si>
  <si>
    <t>merma</t>
  </si>
  <si>
    <t>mesar</t>
  </si>
  <si>
    <t>mesta</t>
  </si>
  <si>
    <t>metal</t>
  </si>
  <si>
    <t>meter</t>
  </si>
  <si>
    <t>metro</t>
  </si>
  <si>
    <t>miaja</t>
  </si>
  <si>
    <t>micra</t>
  </si>
  <si>
    <t>micro</t>
  </si>
  <si>
    <t>miedo</t>
  </si>
  <si>
    <t>migar</t>
  </si>
  <si>
    <t>milla</t>
  </si>
  <si>
    <t>mimar</t>
  </si>
  <si>
    <t>minar</t>
  </si>
  <si>
    <t>mioma</t>
  </si>
  <si>
    <t>miope</t>
  </si>
  <si>
    <t>mirar</t>
  </si>
  <si>
    <t>mirlo</t>
  </si>
  <si>
    <t>mirra</t>
  </si>
  <si>
    <t>mirto</t>
  </si>
  <si>
    <t>misal</t>
  </si>
  <si>
    <t>misil</t>
  </si>
  <si>
    <t>misma</t>
  </si>
  <si>
    <t>mismo</t>
  </si>
  <si>
    <t>mitad</t>
  </si>
  <si>
    <t>mitra</t>
  </si>
  <si>
    <t>miura</t>
  </si>
  <si>
    <t>mixta</t>
  </si>
  <si>
    <t>mixto</t>
  </si>
  <si>
    <t>mocha</t>
  </si>
  <si>
    <t>moche</t>
  </si>
  <si>
    <t>mocho</t>
  </si>
  <si>
    <t>modal</t>
  </si>
  <si>
    <t>mofar</t>
  </si>
  <si>
    <t>mojar</t>
  </si>
  <si>
    <t>molar</t>
  </si>
  <si>
    <t>molde</t>
  </si>
  <si>
    <t>moler</t>
  </si>
  <si>
    <t>momia</t>
  </si>
  <si>
    <t>moñas</t>
  </si>
  <si>
    <t>monda</t>
  </si>
  <si>
    <t>monja</t>
  </si>
  <si>
    <t>monje</t>
  </si>
  <si>
    <t>monte</t>
  </si>
  <si>
    <t>moral</t>
  </si>
  <si>
    <t>morbo</t>
  </si>
  <si>
    <t>morir</t>
  </si>
  <si>
    <t>morro</t>
  </si>
  <si>
    <t>morsa</t>
  </si>
  <si>
    <t>morse</t>
  </si>
  <si>
    <t>mosca</t>
  </si>
  <si>
    <t>mosto</t>
  </si>
  <si>
    <t>motel</t>
  </si>
  <si>
    <t>motor</t>
  </si>
  <si>
    <t>mover</t>
  </si>
  <si>
    <t>mucha</t>
  </si>
  <si>
    <t>mucho</t>
  </si>
  <si>
    <t>mudar</t>
  </si>
  <si>
    <t>mudez</t>
  </si>
  <si>
    <t>mueca</t>
  </si>
  <si>
    <t>muela</t>
  </si>
  <si>
    <t>mugir</t>
  </si>
  <si>
    <t>mugre</t>
  </si>
  <si>
    <t>mujer</t>
  </si>
  <si>
    <t>multa</t>
  </si>
  <si>
    <t>mundo</t>
  </si>
  <si>
    <t>mural</t>
  </si>
  <si>
    <t>murga</t>
  </si>
  <si>
    <t>museo</t>
  </si>
  <si>
    <t>musgo</t>
  </si>
  <si>
    <t>muslo</t>
  </si>
  <si>
    <t>mutar</t>
  </si>
  <si>
    <t>mutis</t>
  </si>
  <si>
    <t>mutua</t>
  </si>
  <si>
    <t>mutuo</t>
  </si>
  <si>
    <t>nacer</t>
  </si>
  <si>
    <t>nacha</t>
  </si>
  <si>
    <t>nacho</t>
  </si>
  <si>
    <t>nadar</t>
  </si>
  <si>
    <t>nadie</t>
  </si>
  <si>
    <t>nafta</t>
  </si>
  <si>
    <t>naipe</t>
  </si>
  <si>
    <t>nalga</t>
  </si>
  <si>
    <t>napia</t>
  </si>
  <si>
    <t>narco</t>
  </si>
  <si>
    <t>nardo</t>
  </si>
  <si>
    <t>nariz</t>
  </si>
  <si>
    <t>nasal</t>
  </si>
  <si>
    <t>natal</t>
  </si>
  <si>
    <t>naval</t>
  </si>
  <si>
    <t>necia</t>
  </si>
  <si>
    <t>necio</t>
  </si>
  <si>
    <t>negar</t>
  </si>
  <si>
    <t>negra</t>
  </si>
  <si>
    <t>negro</t>
  </si>
  <si>
    <t>neura</t>
  </si>
  <si>
    <t>nevar</t>
  </si>
  <si>
    <t>nicho</t>
  </si>
  <si>
    <t>nieta</t>
  </si>
  <si>
    <t>nieto</t>
  </si>
  <si>
    <t>nieve</t>
  </si>
  <si>
    <t>nimia</t>
  </si>
  <si>
    <t>nimio</t>
  </si>
  <si>
    <t>niñez</t>
  </si>
  <si>
    <t>ninfa</t>
  </si>
  <si>
    <t>ninja</t>
  </si>
  <si>
    <t>ninot</t>
  </si>
  <si>
    <t>nitro</t>
  </si>
  <si>
    <t>nivel</t>
  </si>
  <si>
    <t>nobel</t>
  </si>
  <si>
    <t>noble</t>
  </si>
  <si>
    <t>nogal</t>
  </si>
  <si>
    <t>nones</t>
  </si>
  <si>
    <t>ñoñez</t>
  </si>
  <si>
    <t>ñoqui</t>
  </si>
  <si>
    <t>noray</t>
  </si>
  <si>
    <t>noria</t>
  </si>
  <si>
    <t>norma</t>
  </si>
  <si>
    <t>norte</t>
  </si>
  <si>
    <t>notar</t>
  </si>
  <si>
    <t>notas</t>
  </si>
  <si>
    <t>novel</t>
  </si>
  <si>
    <t>novia</t>
  </si>
  <si>
    <t>novio</t>
  </si>
  <si>
    <t>nubia</t>
  </si>
  <si>
    <t>nubio</t>
  </si>
  <si>
    <t>nublo</t>
  </si>
  <si>
    <t>nuera</t>
  </si>
  <si>
    <t>nueva</t>
  </si>
  <si>
    <t>nueve</t>
  </si>
  <si>
    <t>nuevo</t>
  </si>
  <si>
    <t>nunca</t>
  </si>
  <si>
    <t>oasis</t>
  </si>
  <si>
    <t>obesa</t>
  </si>
  <si>
    <t>obeso</t>
  </si>
  <si>
    <t>oblea</t>
  </si>
  <si>
    <t>obrar</t>
  </si>
  <si>
    <t>obvia</t>
  </si>
  <si>
    <t>obvio</t>
  </si>
  <si>
    <t>ocaso</t>
  </si>
  <si>
    <t>octal</t>
  </si>
  <si>
    <t>odiar</t>
  </si>
  <si>
    <t>oeste</t>
  </si>
  <si>
    <t>ohmio</t>
  </si>
  <si>
    <t>ojear</t>
  </si>
  <si>
    <t>ojera</t>
  </si>
  <si>
    <t>ojete</t>
  </si>
  <si>
    <t>ojito</t>
  </si>
  <si>
    <t>ojiva</t>
  </si>
  <si>
    <t>okapi</t>
  </si>
  <si>
    <t>okupa</t>
  </si>
  <si>
    <t>oliva</t>
  </si>
  <si>
    <t>olivo</t>
  </si>
  <si>
    <t>ollar</t>
  </si>
  <si>
    <t>omega</t>
  </si>
  <si>
    <t>omeya</t>
  </si>
  <si>
    <t>omiso</t>
  </si>
  <si>
    <t>ondeo</t>
  </si>
  <si>
    <t>opaca</t>
  </si>
  <si>
    <t>opaco</t>
  </si>
  <si>
    <t>optar</t>
  </si>
  <si>
    <t>orden</t>
  </si>
  <si>
    <t>orear</t>
  </si>
  <si>
    <t>oreja</t>
  </si>
  <si>
    <t>orina</t>
  </si>
  <si>
    <t>orlar</t>
  </si>
  <si>
    <t>ornar</t>
  </si>
  <si>
    <t>oruga</t>
  </si>
  <si>
    <t>orujo</t>
  </si>
  <si>
    <t>orzar</t>
  </si>
  <si>
    <t>osada</t>
  </si>
  <si>
    <t>osado</t>
  </si>
  <si>
    <t>osmio</t>
  </si>
  <si>
    <t>ostia</t>
  </si>
  <si>
    <t>ostra</t>
  </si>
  <si>
    <t>otear</t>
  </si>
  <si>
    <t>otero</t>
  </si>
  <si>
    <t>otoño</t>
  </si>
  <si>
    <t>oveja</t>
  </si>
  <si>
    <t>ovina</t>
  </si>
  <si>
    <t>ovino</t>
  </si>
  <si>
    <t>ozono</t>
  </si>
  <si>
    <t>pacer</t>
  </si>
  <si>
    <t>pacto</t>
  </si>
  <si>
    <t>padre</t>
  </si>
  <si>
    <t>pagar</t>
  </si>
  <si>
    <t>pairo</t>
  </si>
  <si>
    <t>pajar</t>
  </si>
  <si>
    <t>palco</t>
  </si>
  <si>
    <t>palio</t>
  </si>
  <si>
    <t>palma</t>
  </si>
  <si>
    <t>palmo</t>
  </si>
  <si>
    <t>panal</t>
  </si>
  <si>
    <t>pañal</t>
  </si>
  <si>
    <t>panda</t>
  </si>
  <si>
    <t>panel</t>
  </si>
  <si>
    <t>panga</t>
  </si>
  <si>
    <t>panty</t>
  </si>
  <si>
    <t>panza</t>
  </si>
  <si>
    <t>papal</t>
  </si>
  <si>
    <t>papel</t>
  </si>
  <si>
    <t>papeo</t>
  </si>
  <si>
    <t>parar</t>
  </si>
  <si>
    <t>parca</t>
  </si>
  <si>
    <t>parco</t>
  </si>
  <si>
    <t>parda</t>
  </si>
  <si>
    <t>pardo</t>
  </si>
  <si>
    <t>pared</t>
  </si>
  <si>
    <t>pareo</t>
  </si>
  <si>
    <t>paria</t>
  </si>
  <si>
    <t>parir</t>
  </si>
  <si>
    <t>parka</t>
  </si>
  <si>
    <t>parra</t>
  </si>
  <si>
    <t>parte</t>
  </si>
  <si>
    <t>parto</t>
  </si>
  <si>
    <t>pasar</t>
  </si>
  <si>
    <t>paseo</t>
  </si>
  <si>
    <t>pasma</t>
  </si>
  <si>
    <t>pasmo</t>
  </si>
  <si>
    <t>pasta</t>
  </si>
  <si>
    <t>pasto</t>
  </si>
  <si>
    <t>patas</t>
  </si>
  <si>
    <t>pateo</t>
  </si>
  <si>
    <t>patio</t>
  </si>
  <si>
    <t>pausa</t>
  </si>
  <si>
    <t>pauta</t>
  </si>
  <si>
    <t>pavor</t>
  </si>
  <si>
    <t>peaje</t>
  </si>
  <si>
    <t>peana</t>
  </si>
  <si>
    <t>pecar</t>
  </si>
  <si>
    <t>pecho</t>
  </si>
  <si>
    <t>pecio</t>
  </si>
  <si>
    <t>pedal</t>
  </si>
  <si>
    <t>pedir</t>
  </si>
  <si>
    <t>pegar</t>
  </si>
  <si>
    <t>peine</t>
  </si>
  <si>
    <t>pelar</t>
  </si>
  <si>
    <t>pelea</t>
  </si>
  <si>
    <t>pelis</t>
  </si>
  <si>
    <t>pelma</t>
  </si>
  <si>
    <t>penal</t>
  </si>
  <si>
    <t>penar</t>
  </si>
  <si>
    <t>peona</t>
  </si>
  <si>
    <t>pepla</t>
  </si>
  <si>
    <t>peque</t>
  </si>
  <si>
    <t>peral</t>
  </si>
  <si>
    <t>perca</t>
  </si>
  <si>
    <t>perla</t>
  </si>
  <si>
    <t>perno</t>
  </si>
  <si>
    <t>perra</t>
  </si>
  <si>
    <t>perro</t>
  </si>
  <si>
    <t>persa</t>
  </si>
  <si>
    <t>pesar</t>
  </si>
  <si>
    <t>pesca</t>
  </si>
  <si>
    <t>peste</t>
  </si>
  <si>
    <t>pesto</t>
  </si>
  <si>
    <t>petar</t>
  </si>
  <si>
    <t>piano</t>
  </si>
  <si>
    <t>piara</t>
  </si>
  <si>
    <t>picar</t>
  </si>
  <si>
    <t>picia</t>
  </si>
  <si>
    <t>picor</t>
  </si>
  <si>
    <t>pieza</t>
  </si>
  <si>
    <t>pifia</t>
  </si>
  <si>
    <t>pilar</t>
  </si>
  <si>
    <t>pilla</t>
  </si>
  <si>
    <t>pillo</t>
  </si>
  <si>
    <t>pinar</t>
  </si>
  <si>
    <t>pingo</t>
  </si>
  <si>
    <t>pinta</t>
  </si>
  <si>
    <t>pinza</t>
  </si>
  <si>
    <t>piojo</t>
  </si>
  <si>
    <t>pique</t>
  </si>
  <si>
    <t>pirar</t>
  </si>
  <si>
    <t>pisar</t>
  </si>
  <si>
    <t>pisco</t>
  </si>
  <si>
    <t>pista</t>
  </si>
  <si>
    <t>pisto</t>
  </si>
  <si>
    <t>pitar</t>
  </si>
  <si>
    <t>pizca</t>
  </si>
  <si>
    <t>pizza</t>
  </si>
  <si>
    <t>placa</t>
  </si>
  <si>
    <t>plaga</t>
  </si>
  <si>
    <t>plana</t>
  </si>
  <si>
    <t>plano</t>
  </si>
  <si>
    <t>plata</t>
  </si>
  <si>
    <t>plato</t>
  </si>
  <si>
    <t>playa</t>
  </si>
  <si>
    <t>plaza</t>
  </si>
  <si>
    <t>plebe</t>
  </si>
  <si>
    <t>plena</t>
  </si>
  <si>
    <t>pleno</t>
  </si>
  <si>
    <t>plica</t>
  </si>
  <si>
    <t>plomo</t>
  </si>
  <si>
    <t>pluma</t>
  </si>
  <si>
    <t>pobre</t>
  </si>
  <si>
    <t>pocha</t>
  </si>
  <si>
    <t>pocho</t>
  </si>
  <si>
    <t>podal</t>
  </si>
  <si>
    <t>podar</t>
  </si>
  <si>
    <t>poder</t>
  </si>
  <si>
    <t>podio</t>
  </si>
  <si>
    <t>poema</t>
  </si>
  <si>
    <t>poeta</t>
  </si>
  <si>
    <t>polar</t>
  </si>
  <si>
    <t>polca</t>
  </si>
  <si>
    <t>polea</t>
  </si>
  <si>
    <t>polen</t>
  </si>
  <si>
    <t>polio</t>
  </si>
  <si>
    <t>polis</t>
  </si>
  <si>
    <t>polka</t>
  </si>
  <si>
    <t>pollo</t>
  </si>
  <si>
    <t>polvo</t>
  </si>
  <si>
    <t>pompa</t>
  </si>
  <si>
    <t>pompo</t>
  </si>
  <si>
    <t>poner</t>
  </si>
  <si>
    <t>porno</t>
  </si>
  <si>
    <t>porra</t>
  </si>
  <si>
    <t>porte</t>
  </si>
  <si>
    <t>posar</t>
  </si>
  <si>
    <t>posta</t>
  </si>
  <si>
    <t>poste</t>
  </si>
  <si>
    <t>potar</t>
  </si>
  <si>
    <t>potra</t>
  </si>
  <si>
    <t>potro</t>
  </si>
  <si>
    <t>prado</t>
  </si>
  <si>
    <t>presa</t>
  </si>
  <si>
    <t>preso</t>
  </si>
  <si>
    <t>prima</t>
  </si>
  <si>
    <t>primo</t>
  </si>
  <si>
    <t>prior</t>
  </si>
  <si>
    <t>prisa</t>
  </si>
  <si>
    <t>priva</t>
  </si>
  <si>
    <t>prole</t>
  </si>
  <si>
    <t>prosa</t>
  </si>
  <si>
    <t>pubis</t>
  </si>
  <si>
    <t>pudin</t>
  </si>
  <si>
    <t>pudor</t>
  </si>
  <si>
    <t>pugna</t>
  </si>
  <si>
    <t>pujar</t>
  </si>
  <si>
    <t>pulga</t>
  </si>
  <si>
    <t>pulir</t>
  </si>
  <si>
    <t>pulla</t>
  </si>
  <si>
    <t>pulpa</t>
  </si>
  <si>
    <t>pulpo</t>
  </si>
  <si>
    <t>pulso</t>
  </si>
  <si>
    <t>puñal</t>
  </si>
  <si>
    <t>punir</t>
  </si>
  <si>
    <t>punki</t>
  </si>
  <si>
    <t>punta</t>
  </si>
  <si>
    <t>punto</t>
  </si>
  <si>
    <t>purga</t>
  </si>
  <si>
    <t>quark</t>
  </si>
  <si>
    <t>queda</t>
  </si>
  <si>
    <t>quedo</t>
  </si>
  <si>
    <t>queja</t>
  </si>
  <si>
    <t>quema</t>
  </si>
  <si>
    <t>queso</t>
  </si>
  <si>
    <t>quien</t>
  </si>
  <si>
    <t>quita</t>
  </si>
  <si>
    <t>quite</t>
  </si>
  <si>
    <t>rabal</t>
  </si>
  <si>
    <t>rabia</t>
  </si>
  <si>
    <t>racha</t>
  </si>
  <si>
    <t>racor</t>
  </si>
  <si>
    <t>radar</t>
  </si>
  <si>
    <t>radio</t>
  </si>
  <si>
    <t>rafia</t>
  </si>
  <si>
    <t>rajar</t>
  </si>
  <si>
    <t>ralea</t>
  </si>
  <si>
    <t>rally</t>
  </si>
  <si>
    <t>ramal</t>
  </si>
  <si>
    <t>rampa</t>
  </si>
  <si>
    <t>rango</t>
  </si>
  <si>
    <t>rapar</t>
  </si>
  <si>
    <t>rapaz</t>
  </si>
  <si>
    <t>rapto</t>
  </si>
  <si>
    <t>rasca</t>
  </si>
  <si>
    <t>rasgo</t>
  </si>
  <si>
    <t>raspa</t>
  </si>
  <si>
    <t>rasta</t>
  </si>
  <si>
    <t>ratio</t>
  </si>
  <si>
    <t>rauda</t>
  </si>
  <si>
    <t>raudo</t>
  </si>
  <si>
    <t>rayar</t>
  </si>
  <si>
    <t>razia</t>
  </si>
  <si>
    <t>reata</t>
  </si>
  <si>
    <t>recia</t>
  </si>
  <si>
    <t>recio</t>
  </si>
  <si>
    <t>recta</t>
  </si>
  <si>
    <t>recto</t>
  </si>
  <si>
    <t>recua</t>
  </si>
  <si>
    <t>redil</t>
  </si>
  <si>
    <t>regia</t>
  </si>
  <si>
    <t>regio</t>
  </si>
  <si>
    <t>regir</t>
  </si>
  <si>
    <t>regla</t>
  </si>
  <si>
    <t>reina</t>
  </si>
  <si>
    <t>reino</t>
  </si>
  <si>
    <t>relax</t>
  </si>
  <si>
    <t>relleno</t>
  </si>
  <si>
    <t>reloj</t>
  </si>
  <si>
    <t>remar</t>
  </si>
  <si>
    <t>renal</t>
  </si>
  <si>
    <t>reñir</t>
  </si>
  <si>
    <t>renta</t>
  </si>
  <si>
    <t>reojo</t>
  </si>
  <si>
    <t>resma</t>
  </si>
  <si>
    <t>resta</t>
  </si>
  <si>
    <t>resto</t>
  </si>
  <si>
    <t>retal</t>
  </si>
  <si>
    <t>retar</t>
  </si>
  <si>
    <t>retro</t>
  </si>
  <si>
    <t>rezar</t>
  </si>
  <si>
    <t>riada</t>
  </si>
  <si>
    <t>riego</t>
  </si>
  <si>
    <t>rifar</t>
  </si>
  <si>
    <t>rifle</t>
  </si>
  <si>
    <t>rigor</t>
  </si>
  <si>
    <t>rimar</t>
  </si>
  <si>
    <t>ripio</t>
  </si>
  <si>
    <t>risco</t>
  </si>
  <si>
    <t>ritmo</t>
  </si>
  <si>
    <t>rival</t>
  </si>
  <si>
    <t>rizar</t>
  </si>
  <si>
    <t>robar</t>
  </si>
  <si>
    <t>roble</t>
  </si>
  <si>
    <t>robot</t>
  </si>
  <si>
    <t>rodar</t>
  </si>
  <si>
    <t>rodeo</t>
  </si>
  <si>
    <t>rodio</t>
  </si>
  <si>
    <t>rogar</t>
  </si>
  <si>
    <t>rojez</t>
  </si>
  <si>
    <t>rollo</t>
  </si>
  <si>
    <t>rombo</t>
  </si>
  <si>
    <t>ronca</t>
  </si>
  <si>
    <t>ronco</t>
  </si>
  <si>
    <t>ronda</t>
  </si>
  <si>
    <t>roque</t>
  </si>
  <si>
    <t>rosal</t>
  </si>
  <si>
    <t>rosca</t>
  </si>
  <si>
    <t>rosco</t>
  </si>
  <si>
    <t>rotar</t>
  </si>
  <si>
    <t>rotor</t>
  </si>
  <si>
    <t>rozar</t>
  </si>
  <si>
    <t>rubia</t>
  </si>
  <si>
    <t>rubio</t>
  </si>
  <si>
    <t>rubor</t>
  </si>
  <si>
    <t>rucio</t>
  </si>
  <si>
    <t>rueca</t>
  </si>
  <si>
    <t>rueda</t>
  </si>
  <si>
    <t>ruedo</t>
  </si>
  <si>
    <t>ruego</t>
  </si>
  <si>
    <t>rugby</t>
  </si>
  <si>
    <t>rugir</t>
  </si>
  <si>
    <t>ruido</t>
  </si>
  <si>
    <t>ruina</t>
  </si>
  <si>
    <t>rular</t>
  </si>
  <si>
    <t>rumba</t>
  </si>
  <si>
    <t>rumbo</t>
  </si>
  <si>
    <t>rumor</t>
  </si>
  <si>
    <t>rural</t>
  </si>
  <si>
    <t>saber</t>
  </si>
  <si>
    <t>sabia</t>
  </si>
  <si>
    <t>sabio</t>
  </si>
  <si>
    <t>sable</t>
  </si>
  <si>
    <t>sabor</t>
  </si>
  <si>
    <t>sacar</t>
  </si>
  <si>
    <t>sacra</t>
  </si>
  <si>
    <t>sacro</t>
  </si>
  <si>
    <t>saeta</t>
  </si>
  <si>
    <t>sagaz</t>
  </si>
  <si>
    <t>sajar</t>
  </si>
  <si>
    <t>salar</t>
  </si>
  <si>
    <t>saldo</t>
  </si>
  <si>
    <t>salir</t>
  </si>
  <si>
    <t>salmo</t>
  </si>
  <si>
    <t>salsa</t>
  </si>
  <si>
    <t>salto</t>
  </si>
  <si>
    <t>salud</t>
  </si>
  <si>
    <t>salva</t>
  </si>
  <si>
    <t>salve</t>
  </si>
  <si>
    <t>samba</t>
  </si>
  <si>
    <t>sanar</t>
  </si>
  <si>
    <t>santa</t>
  </si>
  <si>
    <t>santo</t>
  </si>
  <si>
    <t>saque</t>
  </si>
  <si>
    <t>sarao</t>
  </si>
  <si>
    <t>sargo</t>
  </si>
  <si>
    <t>sarna</t>
  </si>
  <si>
    <t>sarro</t>
  </si>
  <si>
    <t>sarta</t>
  </si>
  <si>
    <t>sauce</t>
  </si>
  <si>
    <t>sauna</t>
  </si>
  <si>
    <t>savia</t>
  </si>
  <si>
    <t>secar</t>
  </si>
  <si>
    <t>secta</t>
  </si>
  <si>
    <t>sedal</t>
  </si>
  <si>
    <t>sedar</t>
  </si>
  <si>
    <t>segar</t>
  </si>
  <si>
    <t>selfi</t>
  </si>
  <si>
    <t>sello</t>
  </si>
  <si>
    <t>selva</t>
  </si>
  <si>
    <t>semen</t>
  </si>
  <si>
    <t>semis</t>
  </si>
  <si>
    <t>señal</t>
  </si>
  <si>
    <t>senda</t>
  </si>
  <si>
    <t>senil</t>
  </si>
  <si>
    <t>señor</t>
  </si>
  <si>
    <t>sepia</t>
  </si>
  <si>
    <t>septo</t>
  </si>
  <si>
    <t>seria</t>
  </si>
  <si>
    <t>serie</t>
  </si>
  <si>
    <t>serio</t>
  </si>
  <si>
    <t>serpa</t>
  </si>
  <si>
    <t>seseo</t>
  </si>
  <si>
    <t>sesgo</t>
  </si>
  <si>
    <t>sexar</t>
  </si>
  <si>
    <t>sexta</t>
  </si>
  <si>
    <t>sexto</t>
  </si>
  <si>
    <t>shock</t>
  </si>
  <si>
    <t>sidra</t>
  </si>
  <si>
    <t>siega</t>
  </si>
  <si>
    <t>siesa</t>
  </si>
  <si>
    <t>sieso</t>
  </si>
  <si>
    <t>siete</t>
  </si>
  <si>
    <t>sigla</t>
  </si>
  <si>
    <t>siglo</t>
  </si>
  <si>
    <t>sigma</t>
  </si>
  <si>
    <t>signo</t>
  </si>
  <si>
    <t>silla</t>
  </si>
  <si>
    <t>simio</t>
  </si>
  <si>
    <t>simpa</t>
  </si>
  <si>
    <t>sioux</t>
  </si>
  <si>
    <t>sique</t>
  </si>
  <si>
    <t>sirga</t>
  </si>
  <si>
    <t>sisar</t>
  </si>
  <si>
    <t>siseo</t>
  </si>
  <si>
    <t>sismo</t>
  </si>
  <si>
    <t>sitar</t>
  </si>
  <si>
    <t>sitio</t>
  </si>
  <si>
    <t>sobao</t>
  </si>
  <si>
    <t>sobar</t>
  </si>
  <si>
    <t>sobra</t>
  </si>
  <si>
    <t>sobre</t>
  </si>
  <si>
    <t>socia</t>
  </si>
  <si>
    <t>socio</t>
  </si>
  <si>
    <t>sodio</t>
  </si>
  <si>
    <t>solar</t>
  </si>
  <si>
    <t>solaz</t>
  </si>
  <si>
    <t>solfa</t>
  </si>
  <si>
    <t>sonar</t>
  </si>
  <si>
    <t>soñar</t>
  </si>
  <si>
    <t>sonda</t>
  </si>
  <si>
    <t>soplo</t>
  </si>
  <si>
    <t>sopor</t>
  </si>
  <si>
    <t>sorbo</t>
  </si>
  <si>
    <t>sorda</t>
  </si>
  <si>
    <t>sordo</t>
  </si>
  <si>
    <t>sorna</t>
  </si>
  <si>
    <t>spray</t>
  </si>
  <si>
    <t>stock</t>
  </si>
  <si>
    <t>suave</t>
  </si>
  <si>
    <t>subir</t>
  </si>
  <si>
    <t>sucia</t>
  </si>
  <si>
    <t>sucio</t>
  </si>
  <si>
    <t>sudar</t>
  </si>
  <si>
    <t>sudor</t>
  </si>
  <si>
    <t>suela</t>
  </si>
  <si>
    <t>suelo</t>
  </si>
  <si>
    <t>sueño</t>
  </si>
  <si>
    <t>suero</t>
  </si>
  <si>
    <t>suite</t>
  </si>
  <si>
    <t>sumar</t>
  </si>
  <si>
    <t>sumir</t>
  </si>
  <si>
    <t>sumun</t>
  </si>
  <si>
    <t>surco</t>
  </si>
  <si>
    <t>sushi</t>
  </si>
  <si>
    <t>susto</t>
  </si>
  <si>
    <t>sutil</t>
  </si>
  <si>
    <t>tabla</t>
  </si>
  <si>
    <t>tacto</t>
  </si>
  <si>
    <t>taifa</t>
  </si>
  <si>
    <t>tajar</t>
  </si>
  <si>
    <t>talar</t>
  </si>
  <si>
    <t>talco</t>
  </si>
  <si>
    <t>talio</t>
  </si>
  <si>
    <t>talla</t>
  </si>
  <si>
    <t>talle</t>
  </si>
  <si>
    <t>tallo</t>
  </si>
  <si>
    <t>talud</t>
  </si>
  <si>
    <t>tamiz</t>
  </si>
  <si>
    <t>tanda</t>
  </si>
  <si>
    <t>tañer</t>
  </si>
  <si>
    <t>tanga</t>
  </si>
  <si>
    <t>tango</t>
  </si>
  <si>
    <t>tanta</t>
  </si>
  <si>
    <t>tanto</t>
  </si>
  <si>
    <t>tapar</t>
  </si>
  <si>
    <t>tapeo</t>
  </si>
  <si>
    <t>tapia</t>
  </si>
  <si>
    <t>tapiz</t>
  </si>
  <si>
    <t>tarar</t>
  </si>
  <si>
    <t>tarde</t>
  </si>
  <si>
    <t>tarea</t>
  </si>
  <si>
    <t>tarot</t>
  </si>
  <si>
    <t>tarro</t>
  </si>
  <si>
    <t>tarso</t>
  </si>
  <si>
    <t>tarta</t>
  </si>
  <si>
    <t>tasar</t>
  </si>
  <si>
    <t>tasca</t>
  </si>
  <si>
    <t>tatay</t>
  </si>
  <si>
    <t>tauro</t>
  </si>
  <si>
    <t>tazar</t>
  </si>
  <si>
    <t>tebeo</t>
  </si>
  <si>
    <t>techo</t>
  </si>
  <si>
    <t>tecla</t>
  </si>
  <si>
    <t>tedio</t>
  </si>
  <si>
    <t>tejer</t>
  </si>
  <si>
    <t>telar</t>
  </si>
  <si>
    <t>temer</t>
  </si>
  <si>
    <t>temor</t>
  </si>
  <si>
    <t>tempo</t>
  </si>
  <si>
    <t>tenaz</t>
  </si>
  <si>
    <t>tener</t>
  </si>
  <si>
    <t>tenia</t>
  </si>
  <si>
    <t>teñir</t>
  </si>
  <si>
    <t>tenor</t>
  </si>
  <si>
    <t>tensa</t>
  </si>
  <si>
    <t>tenso</t>
  </si>
  <si>
    <t>tenue</t>
  </si>
  <si>
    <t>terca</t>
  </si>
  <si>
    <t>terco</t>
  </si>
  <si>
    <t>terma</t>
  </si>
  <si>
    <t>termo</t>
  </si>
  <si>
    <t>terna</t>
  </si>
  <si>
    <t>tersa</t>
  </si>
  <si>
    <t>terso</t>
  </si>
  <si>
    <t>tesis</t>
  </si>
  <si>
    <t>tesla</t>
  </si>
  <si>
    <t>testa</t>
  </si>
  <si>
    <t>texto</t>
  </si>
  <si>
    <t>tiara</t>
  </si>
  <si>
    <t>tibia</t>
  </si>
  <si>
    <t>tibio</t>
  </si>
  <si>
    <t>tiesa</t>
  </si>
  <si>
    <t>tieso</t>
  </si>
  <si>
    <t>tifus</t>
  </si>
  <si>
    <t>tigre</t>
  </si>
  <si>
    <t>tilde</t>
  </si>
  <si>
    <t>timar</t>
  </si>
  <si>
    <t>timba</t>
  </si>
  <si>
    <t>tinta</t>
  </si>
  <si>
    <t>tinte</t>
  </si>
  <si>
    <t>tinto</t>
  </si>
  <si>
    <t>tirar</t>
  </si>
  <si>
    <t>tisis</t>
  </si>
  <si>
    <t>tocar</t>
  </si>
  <si>
    <t>tocha</t>
  </si>
  <si>
    <t>tocho</t>
  </si>
  <si>
    <t>toldo</t>
  </si>
  <si>
    <t>tolva</t>
  </si>
  <si>
    <t>tomar</t>
  </si>
  <si>
    <t>tonal</t>
  </si>
  <si>
    <t>tonel</t>
  </si>
  <si>
    <t>tongo</t>
  </si>
  <si>
    <t>tonta</t>
  </si>
  <si>
    <t>tonto</t>
  </si>
  <si>
    <t>topar</t>
  </si>
  <si>
    <t>toque</t>
  </si>
  <si>
    <t>toral</t>
  </si>
  <si>
    <t>tordo</t>
  </si>
  <si>
    <t>toreo</t>
  </si>
  <si>
    <t>toril</t>
  </si>
  <si>
    <t>torio</t>
  </si>
  <si>
    <t>torno</t>
  </si>
  <si>
    <t>torpe</t>
  </si>
  <si>
    <t>torre</t>
  </si>
  <si>
    <t>torso</t>
  </si>
  <si>
    <t>torta</t>
  </si>
  <si>
    <t>tosca</t>
  </si>
  <si>
    <t>tosco</t>
  </si>
  <si>
    <t>toser</t>
  </si>
  <si>
    <t>total</t>
  </si>
  <si>
    <t>traba</t>
  </si>
  <si>
    <t>traca</t>
  </si>
  <si>
    <t>traer</t>
  </si>
  <si>
    <t>trago</t>
  </si>
  <si>
    <t>traje</t>
  </si>
  <si>
    <t>trama</t>
  </si>
  <si>
    <t>tramo</t>
  </si>
  <si>
    <t>trapo</t>
  </si>
  <si>
    <t>trata</t>
  </si>
  <si>
    <t>trato</t>
  </si>
  <si>
    <t>traza</t>
  </si>
  <si>
    <t>trazo</t>
  </si>
  <si>
    <t>trece</t>
  </si>
  <si>
    <t>trena</t>
  </si>
  <si>
    <t>treta</t>
  </si>
  <si>
    <t>trial</t>
  </si>
  <si>
    <t>tribu</t>
  </si>
  <si>
    <t>trigo</t>
  </si>
  <si>
    <t>trino</t>
  </si>
  <si>
    <t>tripa</t>
  </si>
  <si>
    <t>tripi</t>
  </si>
  <si>
    <t>triza</t>
  </si>
  <si>
    <t>trola</t>
  </si>
  <si>
    <t>trona</t>
  </si>
  <si>
    <t>trono</t>
  </si>
  <si>
    <t>tropa</t>
  </si>
  <si>
    <t>trote</t>
  </si>
  <si>
    <t>trozo</t>
  </si>
  <si>
    <t>truco</t>
  </si>
  <si>
    <t>trufa</t>
  </si>
  <si>
    <t>tulio</t>
  </si>
  <si>
    <t>tumba</t>
  </si>
  <si>
    <t>tumbo</t>
  </si>
  <si>
    <t>tumor</t>
  </si>
  <si>
    <t>tunda</t>
  </si>
  <si>
    <t>tupir</t>
  </si>
  <si>
    <t>turba</t>
  </si>
  <si>
    <t>turbo</t>
  </si>
  <si>
    <t>turno</t>
  </si>
  <si>
    <t>turra</t>
  </si>
  <si>
    <t>tuteo</t>
  </si>
  <si>
    <t>tutor</t>
  </si>
  <si>
    <t>tutsi</t>
  </si>
  <si>
    <t>ufana</t>
  </si>
  <si>
    <t>ufano</t>
  </si>
  <si>
    <t>ujier</t>
  </si>
  <si>
    <t>ultra</t>
  </si>
  <si>
    <t>uñero</t>
  </si>
  <si>
    <t>ungir</t>
  </si>
  <si>
    <t>untar</t>
  </si>
  <si>
    <t>urdir</t>
  </si>
  <si>
    <t>urgir</t>
  </si>
  <si>
    <t>usada</t>
  </si>
  <si>
    <t>usado</t>
  </si>
  <si>
    <t>usted</t>
  </si>
  <si>
    <t>usual</t>
  </si>
  <si>
    <t>usura</t>
  </si>
  <si>
    <t>vacua</t>
  </si>
  <si>
    <t>vacuo</t>
  </si>
  <si>
    <t>vagar</t>
  </si>
  <si>
    <t>vaina</t>
  </si>
  <si>
    <t>valer</t>
  </si>
  <si>
    <t>valla</t>
  </si>
  <si>
    <t>valle</t>
  </si>
  <si>
    <t>valor</t>
  </si>
  <si>
    <t>vapeo</t>
  </si>
  <si>
    <t>vapor</t>
  </si>
  <si>
    <t>varar</t>
  </si>
  <si>
    <t>varia</t>
  </si>
  <si>
    <t>vario</t>
  </si>
  <si>
    <t>variz</t>
  </si>
  <si>
    <t>vasta</t>
  </si>
  <si>
    <t>vasto</t>
  </si>
  <si>
    <t>vatio</t>
  </si>
  <si>
    <t>vedar</t>
  </si>
  <si>
    <t>vejar</t>
  </si>
  <si>
    <t>vejez</t>
  </si>
  <si>
    <t>velar</t>
  </si>
  <si>
    <t>vello</t>
  </si>
  <si>
    <t>veloz</t>
  </si>
  <si>
    <t>venal</t>
  </si>
  <si>
    <t>venda</t>
  </si>
  <si>
    <t>venia</t>
  </si>
  <si>
    <t>venir</t>
  </si>
  <si>
    <t>venta</t>
  </si>
  <si>
    <t>venus</t>
  </si>
  <si>
    <t>veraz</t>
  </si>
  <si>
    <t>verbo</t>
  </si>
  <si>
    <t>verde</t>
  </si>
  <si>
    <t>verga</t>
  </si>
  <si>
    <t>verja</t>
  </si>
  <si>
    <t>verso</t>
  </si>
  <si>
    <t>vetar</t>
  </si>
  <si>
    <t>viaje</t>
  </si>
  <si>
    <t>vibra</t>
  </si>
  <si>
    <t>vicio</t>
  </si>
  <si>
    <t>vidia</t>
  </si>
  <si>
    <t>vieja</t>
  </si>
  <si>
    <t>viejo</t>
  </si>
  <si>
    <t>vigor</t>
  </si>
  <si>
    <t>villa</t>
  </si>
  <si>
    <t>vilos</t>
  </si>
  <si>
    <t>viola</t>
  </si>
  <si>
    <t>viral</t>
  </si>
  <si>
    <t>virar</t>
  </si>
  <si>
    <t>virgo</t>
  </si>
  <si>
    <t>viril</t>
  </si>
  <si>
    <t>virus</t>
  </si>
  <si>
    <t>visar</t>
  </si>
  <si>
    <t>visir</t>
  </si>
  <si>
    <t>visor</t>
  </si>
  <si>
    <t>vista</t>
  </si>
  <si>
    <t>visto</t>
  </si>
  <si>
    <t>vital</t>
  </si>
  <si>
    <t>viuda</t>
  </si>
  <si>
    <t>viudo</t>
  </si>
  <si>
    <t>vivac</t>
  </si>
  <si>
    <t>vivar</t>
  </si>
  <si>
    <t>vivaz</t>
  </si>
  <si>
    <t>vivir</t>
  </si>
  <si>
    <t>vocal</t>
  </si>
  <si>
    <t>voceo</t>
  </si>
  <si>
    <t>vodka</t>
  </si>
  <si>
    <t>volar</t>
  </si>
  <si>
    <t>volea</t>
  </si>
  <si>
    <t>voleo</t>
  </si>
  <si>
    <t>voraz</t>
  </si>
  <si>
    <t>votar</t>
  </si>
  <si>
    <t>vuelo</t>
  </si>
  <si>
    <t>vulgo</t>
  </si>
  <si>
    <t>vulto</t>
  </si>
  <si>
    <t>vulva</t>
  </si>
  <si>
    <t>yacer</t>
  </si>
  <si>
    <t>yaqui</t>
  </si>
  <si>
    <t>yarda</t>
  </si>
  <si>
    <t>yedra</t>
  </si>
  <si>
    <t>yegua</t>
  </si>
  <si>
    <t>yelmo</t>
  </si>
  <si>
    <t>yerma</t>
  </si>
  <si>
    <t>yermo</t>
  </si>
  <si>
    <t>yerno</t>
  </si>
  <si>
    <t>yesca</t>
  </si>
  <si>
    <t>yihad</t>
  </si>
  <si>
    <t>yodar</t>
  </si>
  <si>
    <t>yogur</t>
  </si>
  <si>
    <t>yunta</t>
  </si>
  <si>
    <t>zafar</t>
  </si>
  <si>
    <t>zafia</t>
  </si>
  <si>
    <t>zafio</t>
  </si>
  <si>
    <t>zagal</t>
  </si>
  <si>
    <t>zamba</t>
  </si>
  <si>
    <t>zambo</t>
  </si>
  <si>
    <t>zanca</t>
  </si>
  <si>
    <t>zanco</t>
  </si>
  <si>
    <t>zanja</t>
  </si>
  <si>
    <t>zarpa</t>
  </si>
  <si>
    <t>zarza</t>
  </si>
  <si>
    <t>zasca</t>
  </si>
  <si>
    <t>zombi</t>
  </si>
  <si>
    <t>zorra</t>
  </si>
  <si>
    <t>zorro</t>
  </si>
  <si>
    <t>zueco</t>
  </si>
  <si>
    <t>zumba</t>
  </si>
  <si>
    <t>zurda</t>
  </si>
  <si>
    <t>zurdo</t>
  </si>
  <si>
    <t>zurra</t>
  </si>
  <si>
    <t>B</t>
  </si>
  <si>
    <t>D</t>
  </si>
  <si>
    <t>Ñ</t>
  </si>
  <si>
    <t>H</t>
  </si>
  <si>
    <t>Y</t>
  </si>
  <si>
    <t>V</t>
  </si>
  <si>
    <t>F</t>
  </si>
  <si>
    <t>G</t>
  </si>
  <si>
    <t>X</t>
  </si>
  <si>
    <t>Q</t>
  </si>
  <si>
    <t>está en su sitio</t>
  </si>
  <si>
    <t>cuántas veces está en la palabra</t>
  </si>
  <si>
    <t>Cuántas veces se propone</t>
  </si>
  <si>
    <t>veces en otro sitio</t>
  </si>
  <si>
    <t>mal puesta pero ya está acertada en otra posición</t>
  </si>
  <si>
    <t>veces en su sitio</t>
  </si>
  <si>
    <t>Resultado</t>
  </si>
  <si>
    <t>Fallo</t>
  </si>
  <si>
    <t>Promedio de intentos</t>
  </si>
  <si>
    <t>Jugados</t>
  </si>
  <si>
    <t>Ganados</t>
  </si>
  <si>
    <t>Ganados %</t>
  </si>
  <si>
    <t>Mejor racha ganando</t>
  </si>
  <si>
    <t>Racha actual ganando</t>
  </si>
  <si>
    <t>abecedario</t>
  </si>
  <si>
    <t>pinte</t>
  </si>
  <si>
    <t>aguas</t>
  </si>
  <si>
    <t>aires</t>
  </si>
  <si>
    <t>altos</t>
  </si>
  <si>
    <t>arcas</t>
  </si>
  <si>
    <t>armas</t>
  </si>
  <si>
    <t>arras</t>
  </si>
  <si>
    <t>ascos</t>
  </si>
  <si>
    <t>autos</t>
  </si>
  <si>
    <t>babas</t>
  </si>
  <si>
    <t>baños</t>
  </si>
  <si>
    <t>besos</t>
  </si>
  <si>
    <t>bolos</t>
  </si>
  <si>
    <t>canas</t>
  </si>
  <si>
    <t>cines</t>
  </si>
  <si>
    <t>coles</t>
  </si>
  <si>
    <t>daños</t>
  </si>
  <si>
    <t>duros</t>
  </si>
  <si>
    <t>euros</t>
  </si>
  <si>
    <t>filas</t>
  </si>
  <si>
    <t>focos</t>
  </si>
  <si>
    <t>gafas</t>
  </si>
  <si>
    <t>hados</t>
  </si>
  <si>
    <t>kilos</t>
  </si>
  <si>
    <t>lomos</t>
  </si>
  <si>
    <t>magos</t>
  </si>
  <si>
    <t>miras</t>
  </si>
  <si>
    <t>nubes</t>
  </si>
  <si>
    <t>paños</t>
  </si>
  <si>
    <t>pelos</t>
  </si>
  <si>
    <t>peros</t>
  </si>
  <si>
    <t>pesas</t>
  </si>
  <si>
    <t>rabas</t>
  </si>
  <si>
    <t>ratos</t>
  </si>
  <si>
    <t>sesos</t>
  </si>
  <si>
    <t>tejos</t>
  </si>
  <si>
    <t>vacas</t>
  </si>
  <si>
    <t>votos</t>
  </si>
  <si>
    <t>genes</t>
  </si>
  <si>
    <t>mares</t>
  </si>
  <si>
    <t>miles</t>
  </si>
  <si>
    <t>panes</t>
  </si>
  <si>
    <t>veces</t>
  </si>
  <si>
    <t>existe</t>
  </si>
  <si>
    <t>Atomo</t>
  </si>
  <si>
    <t>demAs</t>
  </si>
  <si>
    <t>Aureo</t>
  </si>
  <si>
    <t>nAcar</t>
  </si>
  <si>
    <t>Avida</t>
  </si>
  <si>
    <t>Acaro</t>
  </si>
  <si>
    <t>masAi</t>
  </si>
  <si>
    <t>gabAn</t>
  </si>
  <si>
    <t>Ambar</t>
  </si>
  <si>
    <t>titAn</t>
  </si>
  <si>
    <t>Arbol</t>
  </si>
  <si>
    <t>Anima</t>
  </si>
  <si>
    <t>jamAs</t>
  </si>
  <si>
    <t>tucAn</t>
  </si>
  <si>
    <t>atrAs</t>
  </si>
  <si>
    <t>ojalA</t>
  </si>
  <si>
    <t>Atico</t>
  </si>
  <si>
    <t>Aspid</t>
  </si>
  <si>
    <t>Album</t>
  </si>
  <si>
    <t>vAter</t>
  </si>
  <si>
    <t>Acimo</t>
  </si>
  <si>
    <t>hAbil</t>
  </si>
  <si>
    <t>Agata</t>
  </si>
  <si>
    <t>sedAn</t>
  </si>
  <si>
    <t>Arido</t>
  </si>
  <si>
    <t>rApel</t>
  </si>
  <si>
    <t>Agape</t>
  </si>
  <si>
    <t>lAtex</t>
  </si>
  <si>
    <t>Arida</t>
  </si>
  <si>
    <t>cAliz</t>
  </si>
  <si>
    <t>Apice</t>
  </si>
  <si>
    <t>Animo</t>
  </si>
  <si>
    <t>lAser</t>
  </si>
  <si>
    <t>ananA</t>
  </si>
  <si>
    <t>dAtil</t>
  </si>
  <si>
    <t>fAcil</t>
  </si>
  <si>
    <t>gañAn</t>
  </si>
  <si>
    <t>Acido</t>
  </si>
  <si>
    <t>Anade</t>
  </si>
  <si>
    <t>Azimo</t>
  </si>
  <si>
    <t>Acida</t>
  </si>
  <si>
    <t>pAdel</t>
  </si>
  <si>
    <t>Abaco</t>
  </si>
  <si>
    <t>Arabe</t>
  </si>
  <si>
    <t>Avido</t>
  </si>
  <si>
    <t>Angel</t>
  </si>
  <si>
    <t>Aurea</t>
  </si>
  <si>
    <t>divAn</t>
  </si>
  <si>
    <t>Agora</t>
  </si>
  <si>
    <t>satAn</t>
  </si>
  <si>
    <t>Anodo</t>
  </si>
  <si>
    <t>quizA</t>
  </si>
  <si>
    <t>Acima</t>
  </si>
  <si>
    <t>Alabe</t>
  </si>
  <si>
    <t>Atona</t>
  </si>
  <si>
    <t>Alamo</t>
  </si>
  <si>
    <t>lApiz</t>
  </si>
  <si>
    <t>soleA</t>
  </si>
  <si>
    <t>galAn</t>
  </si>
  <si>
    <t>patAn</t>
  </si>
  <si>
    <t>Atono</t>
  </si>
  <si>
    <t>dEbil</t>
  </si>
  <si>
    <t>cachE</t>
  </si>
  <si>
    <t>envEs</t>
  </si>
  <si>
    <t>badEn</t>
  </si>
  <si>
    <t>payEs</t>
  </si>
  <si>
    <t>galEs</t>
  </si>
  <si>
    <t>corsE</t>
  </si>
  <si>
    <t>cEsar</t>
  </si>
  <si>
    <t>arcEn</t>
  </si>
  <si>
    <t>Epoca</t>
  </si>
  <si>
    <t>andEn</t>
  </si>
  <si>
    <t>Ebola</t>
  </si>
  <si>
    <t>parnE</t>
  </si>
  <si>
    <t>cEnit</t>
  </si>
  <si>
    <t>lEmur</t>
  </si>
  <si>
    <t>cuplE</t>
  </si>
  <si>
    <t>satEn</t>
  </si>
  <si>
    <t>minuE</t>
  </si>
  <si>
    <t>Elite</t>
  </si>
  <si>
    <t>aEreo</t>
  </si>
  <si>
    <t>danEs</t>
  </si>
  <si>
    <t>pochE</t>
  </si>
  <si>
    <t>harEn</t>
  </si>
  <si>
    <t>retEn</t>
  </si>
  <si>
    <t>Ebano</t>
  </si>
  <si>
    <t>zEnit</t>
  </si>
  <si>
    <t>pavEs</t>
  </si>
  <si>
    <t>Etico</t>
  </si>
  <si>
    <t>aErea</t>
  </si>
  <si>
    <t>rehEn</t>
  </si>
  <si>
    <t>fetEn</t>
  </si>
  <si>
    <t>fEnix</t>
  </si>
  <si>
    <t>Epica</t>
  </si>
  <si>
    <t>machE</t>
  </si>
  <si>
    <t>cuchE</t>
  </si>
  <si>
    <t>hEroe</t>
  </si>
  <si>
    <t>Exito</t>
  </si>
  <si>
    <t>Epico</t>
  </si>
  <si>
    <t>Exodo</t>
  </si>
  <si>
    <t>belEn</t>
  </si>
  <si>
    <t>glasE</t>
  </si>
  <si>
    <t>suflE</t>
  </si>
  <si>
    <t>tElex</t>
  </si>
  <si>
    <t>fEmur</t>
  </si>
  <si>
    <t>Etica</t>
  </si>
  <si>
    <t>revEs</t>
  </si>
  <si>
    <t>abecE</t>
  </si>
  <si>
    <t>arnEs</t>
  </si>
  <si>
    <t>kEfir</t>
  </si>
  <si>
    <t>Egida</t>
  </si>
  <si>
    <t>judIa</t>
  </si>
  <si>
    <t>oIdio</t>
  </si>
  <si>
    <t>arpIa</t>
  </si>
  <si>
    <t>batIn</t>
  </si>
  <si>
    <t>Ibero</t>
  </si>
  <si>
    <t>Ibera</t>
  </si>
  <si>
    <t>rocIn</t>
  </si>
  <si>
    <t>vacIa</t>
  </si>
  <si>
    <t>bujIa</t>
  </si>
  <si>
    <t>bahIa</t>
  </si>
  <si>
    <t>impIa</t>
  </si>
  <si>
    <t>esquI</t>
  </si>
  <si>
    <t>brIos</t>
  </si>
  <si>
    <t>valIa</t>
  </si>
  <si>
    <t>vigIa</t>
  </si>
  <si>
    <t>hIper</t>
  </si>
  <si>
    <t>pIvot</t>
  </si>
  <si>
    <t>botIn</t>
  </si>
  <si>
    <t>envIo</t>
  </si>
  <si>
    <t>vIdeo</t>
  </si>
  <si>
    <t>Idolo</t>
  </si>
  <si>
    <t>mitIn</t>
  </si>
  <si>
    <t>lInea</t>
  </si>
  <si>
    <t>vItor</t>
  </si>
  <si>
    <t>zaIno</t>
  </si>
  <si>
    <t>roñIa</t>
  </si>
  <si>
    <t>nIvea</t>
  </si>
  <si>
    <t>masIa</t>
  </si>
  <si>
    <t>jolIn</t>
  </si>
  <si>
    <t>Ileon</t>
  </si>
  <si>
    <t>sIlex</t>
  </si>
  <si>
    <t>sImil</t>
  </si>
  <si>
    <t>pijIn</t>
  </si>
  <si>
    <t>raIdo</t>
  </si>
  <si>
    <t>estIo</t>
  </si>
  <si>
    <t>teIna</t>
  </si>
  <si>
    <t>colIn</t>
  </si>
  <si>
    <t>fajIn</t>
  </si>
  <si>
    <t>maorI</t>
  </si>
  <si>
    <t>encIa</t>
  </si>
  <si>
    <t>motIn</t>
  </si>
  <si>
    <t>raIda</t>
  </si>
  <si>
    <t>achIs</t>
  </si>
  <si>
    <t>leIda</t>
  </si>
  <si>
    <t>latIn</t>
  </si>
  <si>
    <t>judIo</t>
  </si>
  <si>
    <t>orgIa</t>
  </si>
  <si>
    <t>nIveo</t>
  </si>
  <si>
    <t>navIo</t>
  </si>
  <si>
    <t>lIder</t>
  </si>
  <si>
    <t>zaIna</t>
  </si>
  <si>
    <t>patIn</t>
  </si>
  <si>
    <t>impIo</t>
  </si>
  <si>
    <t>roIdo</t>
  </si>
  <si>
    <t>rocIo</t>
  </si>
  <si>
    <t>Index</t>
  </si>
  <si>
    <t>espIa</t>
  </si>
  <si>
    <t>mohIn</t>
  </si>
  <si>
    <t>leIdo</t>
  </si>
  <si>
    <t>tilIn</t>
  </si>
  <si>
    <t>freIr</t>
  </si>
  <si>
    <t>cojIn</t>
  </si>
  <si>
    <t>caIda</t>
  </si>
  <si>
    <t>culIn</t>
  </si>
  <si>
    <t>manIa</t>
  </si>
  <si>
    <t>roIda</t>
  </si>
  <si>
    <t>purIn</t>
  </si>
  <si>
    <t>bajIo</t>
  </si>
  <si>
    <t>oIble</t>
  </si>
  <si>
    <t>vacIo</t>
  </si>
  <si>
    <t>pIxel</t>
  </si>
  <si>
    <t>saudI</t>
  </si>
  <si>
    <t>caIdo</t>
  </si>
  <si>
    <t>Igneo</t>
  </si>
  <si>
    <t>Ignea</t>
  </si>
  <si>
    <t>lejIa</t>
  </si>
  <si>
    <t>vaIda</t>
  </si>
  <si>
    <t>cajOn</t>
  </si>
  <si>
    <t>dOcil</t>
  </si>
  <si>
    <t>muñOn</t>
  </si>
  <si>
    <t>tolOn</t>
  </si>
  <si>
    <t>fOrum</t>
  </si>
  <si>
    <t>cupOn</t>
  </si>
  <si>
    <t>tOrax</t>
  </si>
  <si>
    <t>tocOn</t>
  </si>
  <si>
    <t>Oscar</t>
  </si>
  <si>
    <t>tirOn</t>
  </si>
  <si>
    <t>tizOn</t>
  </si>
  <si>
    <t>mojOn</t>
  </si>
  <si>
    <t>rejOn</t>
  </si>
  <si>
    <t>bajOn</t>
  </si>
  <si>
    <t>cagOn</t>
  </si>
  <si>
    <t>jetOn</t>
  </si>
  <si>
    <t>talOn</t>
  </si>
  <si>
    <t>cazOn</t>
  </si>
  <si>
    <t>Obice</t>
  </si>
  <si>
    <t>limOn</t>
  </si>
  <si>
    <t>argOn</t>
  </si>
  <si>
    <t>arpOn</t>
  </si>
  <si>
    <t>molOn</t>
  </si>
  <si>
    <t>telOn</t>
  </si>
  <si>
    <t>ejiOn</t>
  </si>
  <si>
    <t>uniOn</t>
  </si>
  <si>
    <t>sajOn</t>
  </si>
  <si>
    <t>armOn</t>
  </si>
  <si>
    <t>pOney</t>
  </si>
  <si>
    <t>pOmez</t>
  </si>
  <si>
    <t>bOxer</t>
  </si>
  <si>
    <t>mirOn</t>
  </si>
  <si>
    <t>tapOn</t>
  </si>
  <si>
    <t>Oculo</t>
  </si>
  <si>
    <t>peñOn</t>
  </si>
  <si>
    <t>tOtem</t>
  </si>
  <si>
    <t>xenOn</t>
  </si>
  <si>
    <t>visOn</t>
  </si>
  <si>
    <t>pitOn</t>
  </si>
  <si>
    <t>mesOn</t>
  </si>
  <si>
    <t>dOnut</t>
  </si>
  <si>
    <t>hurOn</t>
  </si>
  <si>
    <t>cañOn</t>
  </si>
  <si>
    <t>Oxido</t>
  </si>
  <si>
    <t>Opera</t>
  </si>
  <si>
    <t>matOn</t>
  </si>
  <si>
    <t>bOtox</t>
  </si>
  <si>
    <t>galOn</t>
  </si>
  <si>
    <t>jamOn</t>
  </si>
  <si>
    <t>barOn</t>
  </si>
  <si>
    <t>vOley</t>
  </si>
  <si>
    <t>botOn</t>
  </si>
  <si>
    <t>filOn</t>
  </si>
  <si>
    <t>rayOn</t>
  </si>
  <si>
    <t>radOn</t>
  </si>
  <si>
    <t>bidOn</t>
  </si>
  <si>
    <t>jabOn</t>
  </si>
  <si>
    <t>riñOn</t>
  </si>
  <si>
    <t>gachO</t>
  </si>
  <si>
    <t>cOdex</t>
  </si>
  <si>
    <t>adiOs</t>
  </si>
  <si>
    <t>Obito</t>
  </si>
  <si>
    <t>bufOn</t>
  </si>
  <si>
    <t>tifOn</t>
  </si>
  <si>
    <t>buzOn</t>
  </si>
  <si>
    <t>dOlar</t>
  </si>
  <si>
    <t>Ovulo</t>
  </si>
  <si>
    <t>Onice</t>
  </si>
  <si>
    <t>velOn</t>
  </si>
  <si>
    <t>airOn</t>
  </si>
  <si>
    <t>arcOn</t>
  </si>
  <si>
    <t>felOn</t>
  </si>
  <si>
    <t>mOdem</t>
  </si>
  <si>
    <t>parOn</t>
  </si>
  <si>
    <t>tetOn</t>
  </si>
  <si>
    <t>sazOn</t>
  </si>
  <si>
    <t>pezOn</t>
  </si>
  <si>
    <t>Opalo</t>
  </si>
  <si>
    <t>capOn</t>
  </si>
  <si>
    <t>cebOn</t>
  </si>
  <si>
    <t>futOn</t>
  </si>
  <si>
    <t>piñOn</t>
  </si>
  <si>
    <t>picOn</t>
  </si>
  <si>
    <t>jugOn</t>
  </si>
  <si>
    <t>fOsil</t>
  </si>
  <si>
    <t>sobOn</t>
  </si>
  <si>
    <t>jubOn</t>
  </si>
  <si>
    <t>chacO</t>
  </si>
  <si>
    <t>japOn</t>
  </si>
  <si>
    <t>tazOn</t>
  </si>
  <si>
    <t>sifOn</t>
  </si>
  <si>
    <t>masOn</t>
  </si>
  <si>
    <t>pilOn</t>
  </si>
  <si>
    <t>cOmic</t>
  </si>
  <si>
    <t>lirOn</t>
  </si>
  <si>
    <t>melOn</t>
  </si>
  <si>
    <t>varOn</t>
  </si>
  <si>
    <t>sOleo</t>
  </si>
  <si>
    <t>vagOn</t>
  </si>
  <si>
    <t>latOn</t>
  </si>
  <si>
    <t>pelOn</t>
  </si>
  <si>
    <t>lacOn</t>
  </si>
  <si>
    <t>mOvil</t>
  </si>
  <si>
    <t>ampOn</t>
  </si>
  <si>
    <t>rozOn</t>
  </si>
  <si>
    <t>fogOn</t>
  </si>
  <si>
    <t>ratOn</t>
  </si>
  <si>
    <t>pibOn</t>
  </si>
  <si>
    <t>tejOn</t>
  </si>
  <si>
    <t>freOn</t>
  </si>
  <si>
    <t>copOn</t>
  </si>
  <si>
    <t>razOn</t>
  </si>
  <si>
    <t>jalOn</t>
  </si>
  <si>
    <t>salOn</t>
  </si>
  <si>
    <t>ligOn</t>
  </si>
  <si>
    <t>Ovalo</t>
  </si>
  <si>
    <t>tacOn</t>
  </si>
  <si>
    <t>bulOn</t>
  </si>
  <si>
    <t>pOker</t>
  </si>
  <si>
    <t>fotOn</t>
  </si>
  <si>
    <t>jirOn</t>
  </si>
  <si>
    <t>timOn</t>
  </si>
  <si>
    <t>nipOn</t>
  </si>
  <si>
    <t>tesOn</t>
  </si>
  <si>
    <t>grisU</t>
  </si>
  <si>
    <t>tahUr</t>
  </si>
  <si>
    <t>Unica</t>
  </si>
  <si>
    <t>Unico</t>
  </si>
  <si>
    <t>ataUd</t>
  </si>
  <si>
    <t>hindU</t>
  </si>
  <si>
    <t>Utero</t>
  </si>
  <si>
    <t>vermU</t>
  </si>
  <si>
    <t>cUter</t>
  </si>
  <si>
    <t>sUper</t>
  </si>
  <si>
    <t>reUma</t>
  </si>
  <si>
    <t>Uvula</t>
  </si>
  <si>
    <t>feUca</t>
  </si>
  <si>
    <t>segUn</t>
  </si>
  <si>
    <t>lUteo</t>
  </si>
  <si>
    <t>pUgil</t>
  </si>
  <si>
    <t>bambU</t>
  </si>
  <si>
    <t>comUn</t>
  </si>
  <si>
    <t>saUco</t>
  </si>
  <si>
    <t>flUor</t>
  </si>
  <si>
    <t>betUn</t>
  </si>
  <si>
    <t>fUtil</t>
  </si>
  <si>
    <t>tUnel</t>
  </si>
  <si>
    <t>algUn</t>
  </si>
  <si>
    <t>feUco</t>
  </si>
  <si>
    <t>pUber</t>
  </si>
  <si>
    <t>oIdas</t>
  </si>
  <si>
    <t>cafEs</t>
  </si>
  <si>
    <t>verificado</t>
  </si>
  <si>
    <t>W</t>
  </si>
  <si>
    <r>
      <rPr>
        <i/>
        <sz val="11"/>
        <color theme="1"/>
        <rFont val="Calibri"/>
        <family val="2"/>
        <scheme val="minor"/>
      </rPr>
      <t>Wordle Trainer Beta 1.2</t>
    </r>
    <r>
      <rPr>
        <sz val="11"/>
        <color theme="1"/>
        <rFont val="Calibri"/>
        <family val="2"/>
        <scheme val="minor"/>
      </rPr>
      <t xml:space="preserve"> -  @FerreroJuegos</t>
    </r>
  </si>
  <si>
    <t>Promedio para el grupo
 de 10 palabras 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</si>
</sst>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4" fillId="0" borderId="0" xfId="0" applyFont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3" borderId="0" xfId="0" applyFill="1" applyAlignment="1">
      <alignment horizontal="left"/>
    </xf>
    <xf numFmtId="0" fontId="0" fillId="3" borderId="0" xfId="0" quotePrefix="1" applyFill="1" applyAlignment="1">
      <alignment wrapText="1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5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1" fontId="0" fillId="3" borderId="2" xfId="0" applyNumberFormat="1" applyFill="1" applyBorder="1" applyAlignment="1" applyProtection="1">
      <alignment horizontal="center"/>
      <protection locked="0"/>
    </xf>
    <xf numFmtId="1" fontId="0" fillId="3" borderId="3" xfId="0" applyNumberFormat="1" applyFill="1" applyBorder="1" applyAlignment="1" applyProtection="1">
      <alignment horizontal="center"/>
      <protection locked="0"/>
    </xf>
    <xf numFmtId="1" fontId="0" fillId="3" borderId="4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quotePrefix="1" applyFill="1" applyAlignment="1" applyProtection="1">
      <alignment horizontal="center"/>
      <protection locked="0"/>
    </xf>
    <xf numFmtId="0" fontId="0" fillId="3" borderId="0" xfId="0" applyFill="1" applyAlignment="1">
      <alignment horizontal="right"/>
    </xf>
    <xf numFmtId="164" fontId="0" fillId="0" borderId="0" xfId="0" applyNumberFormat="1"/>
    <xf numFmtId="0" fontId="7" fillId="4" borderId="0" xfId="0" applyFont="1" applyFill="1" applyAlignment="1">
      <alignment horizontal="left" vertical="top" wrapText="1" indent="1"/>
    </xf>
    <xf numFmtId="0" fontId="5" fillId="4" borderId="0" xfId="0" applyFont="1" applyFill="1" applyAlignment="1">
      <alignment horizontal="center" vertical="center"/>
    </xf>
    <xf numFmtId="9" fontId="5" fillId="4" borderId="0" xfId="1" applyFont="1" applyFill="1" applyAlignment="1">
      <alignment horizontal="center" vertical="center"/>
    </xf>
    <xf numFmtId="164" fontId="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left" vertical="center" indent="1"/>
    </xf>
    <xf numFmtId="0" fontId="0" fillId="3" borderId="10" xfId="0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81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E2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rgbClr val="00B050"/>
                </a:gs>
                <a:gs pos="47000">
                  <a:srgbClr val="00E266"/>
                </a:gs>
                <a:gs pos="83000">
                  <a:srgbClr val="00B050"/>
                </a:gs>
                <a:gs pos="100000">
                  <a:srgbClr val="00B050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4">
                      <a:lumMod val="75000"/>
                    </a:schemeClr>
                  </a:gs>
                  <a:gs pos="47000">
                    <a:schemeClr val="accent4"/>
                  </a:gs>
                  <a:gs pos="83000">
                    <a:schemeClr val="accent4">
                      <a:lumMod val="75000"/>
                    </a:schemeClr>
                  </a:gs>
                  <a:gs pos="100000">
                    <a:schemeClr val="accent4">
                      <a:lumMod val="75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59B-4C3F-ABD8-FCFB6E00C6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effectLst>
                      <a:glow rad="101600">
                        <a:schemeClr val="bg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Hoja1!$X$3:$X$9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Fallo</c:v>
                </c:pt>
              </c:strCache>
            </c:strRef>
          </c:cat>
          <c:val>
            <c:numRef>
              <c:f>Hoja1!$Y$3:$Y$9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B-4C3F-ABD8-FCFB6E00C61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56"/>
        <c:overlap val="-24"/>
        <c:axId val="375572168"/>
        <c:axId val="375566592"/>
      </c:barChart>
      <c:catAx>
        <c:axId val="375572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75566592"/>
        <c:crosses val="autoZero"/>
        <c:auto val="1"/>
        <c:lblAlgn val="ctr"/>
        <c:lblOffset val="100"/>
        <c:noMultiLvlLbl val="0"/>
      </c:catAx>
      <c:valAx>
        <c:axId val="37556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75572168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tx1">
        <a:lumMod val="65000"/>
        <a:lumOff val="35000"/>
      </a:schemeClr>
    </a:soli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ln w="12700">
                  <a:solidFill>
                    <a:srgbClr val="00B050"/>
                  </a:solidFill>
                </a:ln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ES" b="1">
                <a:ln w="12700">
                  <a:solidFill>
                    <a:srgbClr val="00B050"/>
                  </a:solidFill>
                </a:ln>
                <a:solidFill>
                  <a:schemeClr val="bg1"/>
                </a:solidFill>
                <a:effectLst/>
              </a:rPr>
              <a:t>Promedio de intentos</a:t>
            </a:r>
          </a:p>
          <a:p>
            <a:pPr>
              <a:defRPr b="1">
                <a:ln w="12700">
                  <a:solidFill>
                    <a:srgbClr val="00B050"/>
                  </a:solidFill>
                </a:ln>
                <a:solidFill>
                  <a:schemeClr val="bg1"/>
                </a:solidFill>
                <a:effectLst/>
              </a:defRPr>
            </a:pPr>
            <a:r>
              <a:rPr lang="es-ES" b="1">
                <a:ln w="12700">
                  <a:solidFill>
                    <a:srgbClr val="00B050"/>
                  </a:solidFill>
                </a:ln>
                <a:solidFill>
                  <a:schemeClr val="bg1"/>
                </a:solidFill>
                <a:effectLst/>
              </a:rPr>
              <a:t> cada grupo</a:t>
            </a:r>
            <a:r>
              <a:rPr lang="es-ES" b="1" baseline="0">
                <a:ln w="12700">
                  <a:solidFill>
                    <a:srgbClr val="00B050"/>
                  </a:solidFill>
                </a:ln>
                <a:solidFill>
                  <a:schemeClr val="bg1"/>
                </a:solidFill>
                <a:effectLst/>
              </a:rPr>
              <a:t> de</a:t>
            </a:r>
            <a:r>
              <a:rPr lang="es-ES" b="1">
                <a:ln w="12700">
                  <a:solidFill>
                    <a:srgbClr val="00B050"/>
                  </a:solidFill>
                </a:ln>
                <a:solidFill>
                  <a:schemeClr val="bg1"/>
                </a:solidFill>
                <a:effectLst/>
              </a:rPr>
              <a:t> 10</a:t>
            </a:r>
            <a:r>
              <a:rPr lang="es-ES" b="1" baseline="0">
                <a:ln w="12700">
                  <a:solidFill>
                    <a:srgbClr val="00B050"/>
                  </a:solidFill>
                </a:ln>
                <a:solidFill>
                  <a:schemeClr val="bg1"/>
                </a:solidFill>
                <a:effectLst/>
              </a:rPr>
              <a:t> palabras</a:t>
            </a:r>
            <a:endParaRPr lang="es-ES" b="1">
              <a:ln w="12700">
                <a:solidFill>
                  <a:srgbClr val="00B050"/>
                </a:solidFill>
              </a:ln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2.9712166313266054E-2"/>
          <c:y val="0.69370730223844923"/>
        </c:manualLayout>
      </c:layout>
      <c:overlay val="0"/>
      <c:spPr>
        <a:solidFill>
          <a:schemeClr val="tx1">
            <a:lumMod val="65000"/>
            <a:lumOff val="3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ln w="12700">
                <a:solidFill>
                  <a:srgbClr val="00B050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2.750130039468051E-2"/>
          <c:y val="6.5231481481481488E-2"/>
          <c:w val="0.95888062337840585"/>
          <c:h val="0.79378135024788565"/>
        </c:manualLayout>
      </c:layout>
      <c:lineChart>
        <c:grouping val="standard"/>
        <c:varyColors val="0"/>
        <c:ser>
          <c:idx val="2"/>
          <c:order val="0"/>
          <c:spPr>
            <a:ln w="1587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217"/>
              <c:layout>
                <c:manualLayout>
                  <c:x val="-1.6094090086352444E-2"/>
                  <c:y val="-4.166666666666666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Promedio total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A8-4742-B4C1-E9CAD2B37560}"/>
                </c:ext>
              </c:extLst>
            </c:dLbl>
            <c:spPr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Hoja1!$AJ$1:$AJ$223</c:f>
              <c:numCache>
                <c:formatCode>General</c:formatCode>
                <c:ptCount val="223"/>
                <c:pt idx="0">
                  <c:v>1</c:v>
                </c:pt>
                <c:pt idx="1">
                  <c:v>11</c:v>
                </c:pt>
                <c:pt idx="2">
                  <c:v>21</c:v>
                </c:pt>
                <c:pt idx="3">
                  <c:v>31</c:v>
                </c:pt>
                <c:pt idx="4">
                  <c:v>41</c:v>
                </c:pt>
                <c:pt idx="5">
                  <c:v>51</c:v>
                </c:pt>
                <c:pt idx="6">
                  <c:v>61</c:v>
                </c:pt>
                <c:pt idx="7">
                  <c:v>71</c:v>
                </c:pt>
                <c:pt idx="8">
                  <c:v>81</c:v>
                </c:pt>
                <c:pt idx="9">
                  <c:v>91</c:v>
                </c:pt>
                <c:pt idx="10">
                  <c:v>101</c:v>
                </c:pt>
                <c:pt idx="11">
                  <c:v>111</c:v>
                </c:pt>
                <c:pt idx="12">
                  <c:v>121</c:v>
                </c:pt>
                <c:pt idx="13">
                  <c:v>131</c:v>
                </c:pt>
                <c:pt idx="14">
                  <c:v>141</c:v>
                </c:pt>
                <c:pt idx="15">
                  <c:v>151</c:v>
                </c:pt>
                <c:pt idx="16">
                  <c:v>161</c:v>
                </c:pt>
                <c:pt idx="17">
                  <c:v>171</c:v>
                </c:pt>
                <c:pt idx="18">
                  <c:v>181</c:v>
                </c:pt>
                <c:pt idx="19">
                  <c:v>191</c:v>
                </c:pt>
                <c:pt idx="20">
                  <c:v>201</c:v>
                </c:pt>
                <c:pt idx="21">
                  <c:v>211</c:v>
                </c:pt>
                <c:pt idx="22">
                  <c:v>221</c:v>
                </c:pt>
                <c:pt idx="23">
                  <c:v>231</c:v>
                </c:pt>
                <c:pt idx="24">
                  <c:v>241</c:v>
                </c:pt>
                <c:pt idx="25">
                  <c:v>251</c:v>
                </c:pt>
                <c:pt idx="26">
                  <c:v>261</c:v>
                </c:pt>
                <c:pt idx="27">
                  <c:v>271</c:v>
                </c:pt>
                <c:pt idx="28">
                  <c:v>281</c:v>
                </c:pt>
                <c:pt idx="29">
                  <c:v>291</c:v>
                </c:pt>
                <c:pt idx="30">
                  <c:v>301</c:v>
                </c:pt>
                <c:pt idx="31">
                  <c:v>311</c:v>
                </c:pt>
                <c:pt idx="32">
                  <c:v>321</c:v>
                </c:pt>
                <c:pt idx="33">
                  <c:v>331</c:v>
                </c:pt>
                <c:pt idx="34">
                  <c:v>341</c:v>
                </c:pt>
                <c:pt idx="35">
                  <c:v>351</c:v>
                </c:pt>
                <c:pt idx="36">
                  <c:v>361</c:v>
                </c:pt>
                <c:pt idx="37">
                  <c:v>371</c:v>
                </c:pt>
                <c:pt idx="38">
                  <c:v>381</c:v>
                </c:pt>
                <c:pt idx="39">
                  <c:v>391</c:v>
                </c:pt>
                <c:pt idx="40">
                  <c:v>401</c:v>
                </c:pt>
                <c:pt idx="41">
                  <c:v>411</c:v>
                </c:pt>
                <c:pt idx="42">
                  <c:v>421</c:v>
                </c:pt>
                <c:pt idx="43">
                  <c:v>431</c:v>
                </c:pt>
                <c:pt idx="44">
                  <c:v>441</c:v>
                </c:pt>
                <c:pt idx="45">
                  <c:v>451</c:v>
                </c:pt>
                <c:pt idx="46">
                  <c:v>461</c:v>
                </c:pt>
                <c:pt idx="47">
                  <c:v>471</c:v>
                </c:pt>
                <c:pt idx="48">
                  <c:v>481</c:v>
                </c:pt>
                <c:pt idx="49">
                  <c:v>491</c:v>
                </c:pt>
                <c:pt idx="50">
                  <c:v>501</c:v>
                </c:pt>
                <c:pt idx="51">
                  <c:v>511</c:v>
                </c:pt>
                <c:pt idx="52">
                  <c:v>521</c:v>
                </c:pt>
                <c:pt idx="53">
                  <c:v>531</c:v>
                </c:pt>
                <c:pt idx="54">
                  <c:v>541</c:v>
                </c:pt>
                <c:pt idx="55">
                  <c:v>551</c:v>
                </c:pt>
                <c:pt idx="56">
                  <c:v>561</c:v>
                </c:pt>
                <c:pt idx="57">
                  <c:v>571</c:v>
                </c:pt>
                <c:pt idx="58">
                  <c:v>581</c:v>
                </c:pt>
                <c:pt idx="59">
                  <c:v>591</c:v>
                </c:pt>
                <c:pt idx="60">
                  <c:v>601</c:v>
                </c:pt>
                <c:pt idx="61">
                  <c:v>611</c:v>
                </c:pt>
                <c:pt idx="62">
                  <c:v>621</c:v>
                </c:pt>
                <c:pt idx="63">
                  <c:v>631</c:v>
                </c:pt>
                <c:pt idx="64">
                  <c:v>641</c:v>
                </c:pt>
                <c:pt idx="65">
                  <c:v>651</c:v>
                </c:pt>
                <c:pt idx="66">
                  <c:v>661</c:v>
                </c:pt>
                <c:pt idx="67">
                  <c:v>671</c:v>
                </c:pt>
                <c:pt idx="68">
                  <c:v>681</c:v>
                </c:pt>
                <c:pt idx="69">
                  <c:v>691</c:v>
                </c:pt>
                <c:pt idx="70">
                  <c:v>701</c:v>
                </c:pt>
                <c:pt idx="71">
                  <c:v>711</c:v>
                </c:pt>
                <c:pt idx="72">
                  <c:v>721</c:v>
                </c:pt>
                <c:pt idx="73">
                  <c:v>731</c:v>
                </c:pt>
                <c:pt idx="74">
                  <c:v>741</c:v>
                </c:pt>
                <c:pt idx="75">
                  <c:v>751</c:v>
                </c:pt>
                <c:pt idx="76">
                  <c:v>761</c:v>
                </c:pt>
                <c:pt idx="77">
                  <c:v>771</c:v>
                </c:pt>
                <c:pt idx="78">
                  <c:v>781</c:v>
                </c:pt>
                <c:pt idx="79">
                  <c:v>791</c:v>
                </c:pt>
                <c:pt idx="80">
                  <c:v>801</c:v>
                </c:pt>
                <c:pt idx="81">
                  <c:v>811</c:v>
                </c:pt>
                <c:pt idx="82">
                  <c:v>821</c:v>
                </c:pt>
                <c:pt idx="83">
                  <c:v>831</c:v>
                </c:pt>
                <c:pt idx="84">
                  <c:v>841</c:v>
                </c:pt>
                <c:pt idx="85">
                  <c:v>851</c:v>
                </c:pt>
                <c:pt idx="86">
                  <c:v>861</c:v>
                </c:pt>
                <c:pt idx="87">
                  <c:v>871</c:v>
                </c:pt>
                <c:pt idx="88">
                  <c:v>881</c:v>
                </c:pt>
                <c:pt idx="89">
                  <c:v>891</c:v>
                </c:pt>
                <c:pt idx="90">
                  <c:v>901</c:v>
                </c:pt>
                <c:pt idx="91">
                  <c:v>911</c:v>
                </c:pt>
                <c:pt idx="92">
                  <c:v>921</c:v>
                </c:pt>
                <c:pt idx="93">
                  <c:v>931</c:v>
                </c:pt>
                <c:pt idx="94">
                  <c:v>941</c:v>
                </c:pt>
                <c:pt idx="95">
                  <c:v>951</c:v>
                </c:pt>
                <c:pt idx="96">
                  <c:v>961</c:v>
                </c:pt>
                <c:pt idx="97">
                  <c:v>971</c:v>
                </c:pt>
                <c:pt idx="98">
                  <c:v>981</c:v>
                </c:pt>
                <c:pt idx="99">
                  <c:v>991</c:v>
                </c:pt>
                <c:pt idx="100">
                  <c:v>1001</c:v>
                </c:pt>
                <c:pt idx="101">
                  <c:v>1011</c:v>
                </c:pt>
                <c:pt idx="102">
                  <c:v>1021</c:v>
                </c:pt>
                <c:pt idx="103">
                  <c:v>1031</c:v>
                </c:pt>
                <c:pt idx="104">
                  <c:v>1041</c:v>
                </c:pt>
                <c:pt idx="105">
                  <c:v>1051</c:v>
                </c:pt>
                <c:pt idx="106">
                  <c:v>1061</c:v>
                </c:pt>
                <c:pt idx="107">
                  <c:v>1071</c:v>
                </c:pt>
                <c:pt idx="108">
                  <c:v>1081</c:v>
                </c:pt>
                <c:pt idx="109">
                  <c:v>1091</c:v>
                </c:pt>
                <c:pt idx="110">
                  <c:v>1101</c:v>
                </c:pt>
                <c:pt idx="111">
                  <c:v>1111</c:v>
                </c:pt>
                <c:pt idx="112">
                  <c:v>1121</c:v>
                </c:pt>
                <c:pt idx="113">
                  <c:v>1131</c:v>
                </c:pt>
                <c:pt idx="114">
                  <c:v>1141</c:v>
                </c:pt>
                <c:pt idx="115">
                  <c:v>1151</c:v>
                </c:pt>
                <c:pt idx="116">
                  <c:v>1161</c:v>
                </c:pt>
                <c:pt idx="117">
                  <c:v>1171</c:v>
                </c:pt>
                <c:pt idx="118">
                  <c:v>1181</c:v>
                </c:pt>
                <c:pt idx="119">
                  <c:v>1191</c:v>
                </c:pt>
                <c:pt idx="120">
                  <c:v>1201</c:v>
                </c:pt>
                <c:pt idx="121">
                  <c:v>1211</c:v>
                </c:pt>
                <c:pt idx="122">
                  <c:v>1221</c:v>
                </c:pt>
                <c:pt idx="123">
                  <c:v>1231</c:v>
                </c:pt>
                <c:pt idx="124">
                  <c:v>1241</c:v>
                </c:pt>
                <c:pt idx="125">
                  <c:v>1251</c:v>
                </c:pt>
                <c:pt idx="126">
                  <c:v>1261</c:v>
                </c:pt>
                <c:pt idx="127">
                  <c:v>1271</c:v>
                </c:pt>
                <c:pt idx="128">
                  <c:v>1281</c:v>
                </c:pt>
                <c:pt idx="129">
                  <c:v>1291</c:v>
                </c:pt>
                <c:pt idx="130">
                  <c:v>1301</c:v>
                </c:pt>
                <c:pt idx="131">
                  <c:v>1311</c:v>
                </c:pt>
                <c:pt idx="132">
                  <c:v>1321</c:v>
                </c:pt>
                <c:pt idx="133">
                  <c:v>1331</c:v>
                </c:pt>
                <c:pt idx="134">
                  <c:v>1341</c:v>
                </c:pt>
                <c:pt idx="135">
                  <c:v>1351</c:v>
                </c:pt>
                <c:pt idx="136">
                  <c:v>1361</c:v>
                </c:pt>
                <c:pt idx="137">
                  <c:v>1371</c:v>
                </c:pt>
                <c:pt idx="138">
                  <c:v>1381</c:v>
                </c:pt>
                <c:pt idx="139">
                  <c:v>1391</c:v>
                </c:pt>
                <c:pt idx="140">
                  <c:v>1401</c:v>
                </c:pt>
                <c:pt idx="141">
                  <c:v>1411</c:v>
                </c:pt>
                <c:pt idx="142">
                  <c:v>1421</c:v>
                </c:pt>
                <c:pt idx="143">
                  <c:v>1431</c:v>
                </c:pt>
                <c:pt idx="144">
                  <c:v>1441</c:v>
                </c:pt>
                <c:pt idx="145">
                  <c:v>1451</c:v>
                </c:pt>
                <c:pt idx="146">
                  <c:v>1461</c:v>
                </c:pt>
                <c:pt idx="147">
                  <c:v>1471</c:v>
                </c:pt>
                <c:pt idx="148">
                  <c:v>1481</c:v>
                </c:pt>
                <c:pt idx="149">
                  <c:v>1491</c:v>
                </c:pt>
                <c:pt idx="150">
                  <c:v>1501</c:v>
                </c:pt>
                <c:pt idx="151">
                  <c:v>1511</c:v>
                </c:pt>
                <c:pt idx="152">
                  <c:v>1521</c:v>
                </c:pt>
                <c:pt idx="153">
                  <c:v>1531</c:v>
                </c:pt>
                <c:pt idx="154">
                  <c:v>1541</c:v>
                </c:pt>
                <c:pt idx="155">
                  <c:v>1551</c:v>
                </c:pt>
                <c:pt idx="156">
                  <c:v>1561</c:v>
                </c:pt>
                <c:pt idx="157">
                  <c:v>1571</c:v>
                </c:pt>
                <c:pt idx="158">
                  <c:v>1581</c:v>
                </c:pt>
                <c:pt idx="159">
                  <c:v>1591</c:v>
                </c:pt>
                <c:pt idx="160">
                  <c:v>1601</c:v>
                </c:pt>
                <c:pt idx="161">
                  <c:v>1611</c:v>
                </c:pt>
                <c:pt idx="162">
                  <c:v>1621</c:v>
                </c:pt>
                <c:pt idx="163">
                  <c:v>1631</c:v>
                </c:pt>
                <c:pt idx="164">
                  <c:v>1641</c:v>
                </c:pt>
                <c:pt idx="165">
                  <c:v>1651</c:v>
                </c:pt>
                <c:pt idx="166">
                  <c:v>1661</c:v>
                </c:pt>
                <c:pt idx="167">
                  <c:v>1671</c:v>
                </c:pt>
                <c:pt idx="168">
                  <c:v>1681</c:v>
                </c:pt>
                <c:pt idx="169">
                  <c:v>1691</c:v>
                </c:pt>
                <c:pt idx="170">
                  <c:v>1701</c:v>
                </c:pt>
                <c:pt idx="171">
                  <c:v>1711</c:v>
                </c:pt>
                <c:pt idx="172">
                  <c:v>1721</c:v>
                </c:pt>
                <c:pt idx="173">
                  <c:v>1731</c:v>
                </c:pt>
                <c:pt idx="174">
                  <c:v>1741</c:v>
                </c:pt>
                <c:pt idx="175">
                  <c:v>1751</c:v>
                </c:pt>
                <c:pt idx="176">
                  <c:v>1761</c:v>
                </c:pt>
                <c:pt idx="177">
                  <c:v>1771</c:v>
                </c:pt>
                <c:pt idx="178">
                  <c:v>1781</c:v>
                </c:pt>
                <c:pt idx="179">
                  <c:v>1791</c:v>
                </c:pt>
                <c:pt idx="180">
                  <c:v>1801</c:v>
                </c:pt>
                <c:pt idx="181">
                  <c:v>1811</c:v>
                </c:pt>
                <c:pt idx="182">
                  <c:v>1821</c:v>
                </c:pt>
                <c:pt idx="183">
                  <c:v>1831</c:v>
                </c:pt>
                <c:pt idx="184">
                  <c:v>1841</c:v>
                </c:pt>
                <c:pt idx="185">
                  <c:v>1851</c:v>
                </c:pt>
                <c:pt idx="186">
                  <c:v>1861</c:v>
                </c:pt>
                <c:pt idx="187">
                  <c:v>1871</c:v>
                </c:pt>
                <c:pt idx="188">
                  <c:v>1881</c:v>
                </c:pt>
                <c:pt idx="189">
                  <c:v>1891</c:v>
                </c:pt>
                <c:pt idx="190">
                  <c:v>1901</c:v>
                </c:pt>
                <c:pt idx="191">
                  <c:v>1911</c:v>
                </c:pt>
                <c:pt idx="192">
                  <c:v>1921</c:v>
                </c:pt>
                <c:pt idx="193">
                  <c:v>1931</c:v>
                </c:pt>
                <c:pt idx="194">
                  <c:v>1941</c:v>
                </c:pt>
                <c:pt idx="195">
                  <c:v>1951</c:v>
                </c:pt>
                <c:pt idx="196">
                  <c:v>1961</c:v>
                </c:pt>
                <c:pt idx="197">
                  <c:v>1971</c:v>
                </c:pt>
                <c:pt idx="198">
                  <c:v>1981</c:v>
                </c:pt>
                <c:pt idx="199">
                  <c:v>1991</c:v>
                </c:pt>
                <c:pt idx="200">
                  <c:v>2001</c:v>
                </c:pt>
                <c:pt idx="201">
                  <c:v>2011</c:v>
                </c:pt>
                <c:pt idx="202">
                  <c:v>2021</c:v>
                </c:pt>
                <c:pt idx="203">
                  <c:v>2031</c:v>
                </c:pt>
                <c:pt idx="204">
                  <c:v>2041</c:v>
                </c:pt>
                <c:pt idx="205">
                  <c:v>2051</c:v>
                </c:pt>
                <c:pt idx="206">
                  <c:v>2061</c:v>
                </c:pt>
                <c:pt idx="207">
                  <c:v>2071</c:v>
                </c:pt>
                <c:pt idx="208">
                  <c:v>2081</c:v>
                </c:pt>
                <c:pt idx="209">
                  <c:v>2091</c:v>
                </c:pt>
                <c:pt idx="210">
                  <c:v>2101</c:v>
                </c:pt>
                <c:pt idx="211">
                  <c:v>2111</c:v>
                </c:pt>
                <c:pt idx="212">
                  <c:v>2121</c:v>
                </c:pt>
                <c:pt idx="213">
                  <c:v>2131</c:v>
                </c:pt>
                <c:pt idx="214">
                  <c:v>2141</c:v>
                </c:pt>
                <c:pt idx="215">
                  <c:v>2151</c:v>
                </c:pt>
                <c:pt idx="216">
                  <c:v>2161</c:v>
                </c:pt>
                <c:pt idx="217">
                  <c:v>2171</c:v>
                </c:pt>
                <c:pt idx="218">
                  <c:v>2181</c:v>
                </c:pt>
                <c:pt idx="219">
                  <c:v>2191</c:v>
                </c:pt>
                <c:pt idx="220">
                  <c:v>2201</c:v>
                </c:pt>
                <c:pt idx="221">
                  <c:v>2211</c:v>
                </c:pt>
                <c:pt idx="222">
                  <c:v>2221</c:v>
                </c:pt>
              </c:numCache>
            </c:numRef>
          </c:cat>
          <c:val>
            <c:numRef>
              <c:f>Hoja1!$AL$1:$AL$223</c:f>
              <c:numCache>
                <c:formatCode>0.0</c:formatCode>
                <c:ptCount val="2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A8-4742-B4C1-E9CAD2B37560}"/>
            </c:ext>
          </c:extLst>
        </c:ser>
        <c:ser>
          <c:idx val="1"/>
          <c:order val="1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9050">
                <a:solidFill>
                  <a:srgbClr val="00B050"/>
                </a:solidFill>
              </a:ln>
              <a:effectLst/>
            </c:spPr>
          </c:marker>
          <c:cat>
            <c:numRef>
              <c:f>Hoja1!$AJ$1:$AJ$223</c:f>
              <c:numCache>
                <c:formatCode>General</c:formatCode>
                <c:ptCount val="223"/>
                <c:pt idx="0">
                  <c:v>1</c:v>
                </c:pt>
                <c:pt idx="1">
                  <c:v>11</c:v>
                </c:pt>
                <c:pt idx="2">
                  <c:v>21</c:v>
                </c:pt>
                <c:pt idx="3">
                  <c:v>31</c:v>
                </c:pt>
                <c:pt idx="4">
                  <c:v>41</c:v>
                </c:pt>
                <c:pt idx="5">
                  <c:v>51</c:v>
                </c:pt>
                <c:pt idx="6">
                  <c:v>61</c:v>
                </c:pt>
                <c:pt idx="7">
                  <c:v>71</c:v>
                </c:pt>
                <c:pt idx="8">
                  <c:v>81</c:v>
                </c:pt>
                <c:pt idx="9">
                  <c:v>91</c:v>
                </c:pt>
                <c:pt idx="10">
                  <c:v>101</c:v>
                </c:pt>
                <c:pt idx="11">
                  <c:v>111</c:v>
                </c:pt>
                <c:pt idx="12">
                  <c:v>121</c:v>
                </c:pt>
                <c:pt idx="13">
                  <c:v>131</c:v>
                </c:pt>
                <c:pt idx="14">
                  <c:v>141</c:v>
                </c:pt>
                <c:pt idx="15">
                  <c:v>151</c:v>
                </c:pt>
                <c:pt idx="16">
                  <c:v>161</c:v>
                </c:pt>
                <c:pt idx="17">
                  <c:v>171</c:v>
                </c:pt>
                <c:pt idx="18">
                  <c:v>181</c:v>
                </c:pt>
                <c:pt idx="19">
                  <c:v>191</c:v>
                </c:pt>
                <c:pt idx="20">
                  <c:v>201</c:v>
                </c:pt>
                <c:pt idx="21">
                  <c:v>211</c:v>
                </c:pt>
                <c:pt idx="22">
                  <c:v>221</c:v>
                </c:pt>
                <c:pt idx="23">
                  <c:v>231</c:v>
                </c:pt>
                <c:pt idx="24">
                  <c:v>241</c:v>
                </c:pt>
                <c:pt idx="25">
                  <c:v>251</c:v>
                </c:pt>
                <c:pt idx="26">
                  <c:v>261</c:v>
                </c:pt>
                <c:pt idx="27">
                  <c:v>271</c:v>
                </c:pt>
                <c:pt idx="28">
                  <c:v>281</c:v>
                </c:pt>
                <c:pt idx="29">
                  <c:v>291</c:v>
                </c:pt>
                <c:pt idx="30">
                  <c:v>301</c:v>
                </c:pt>
                <c:pt idx="31">
                  <c:v>311</c:v>
                </c:pt>
                <c:pt idx="32">
                  <c:v>321</c:v>
                </c:pt>
                <c:pt idx="33">
                  <c:v>331</c:v>
                </c:pt>
                <c:pt idx="34">
                  <c:v>341</c:v>
                </c:pt>
                <c:pt idx="35">
                  <c:v>351</c:v>
                </c:pt>
                <c:pt idx="36">
                  <c:v>361</c:v>
                </c:pt>
                <c:pt idx="37">
                  <c:v>371</c:v>
                </c:pt>
                <c:pt idx="38">
                  <c:v>381</c:v>
                </c:pt>
                <c:pt idx="39">
                  <c:v>391</c:v>
                </c:pt>
                <c:pt idx="40">
                  <c:v>401</c:v>
                </c:pt>
                <c:pt idx="41">
                  <c:v>411</c:v>
                </c:pt>
                <c:pt idx="42">
                  <c:v>421</c:v>
                </c:pt>
                <c:pt idx="43">
                  <c:v>431</c:v>
                </c:pt>
                <c:pt idx="44">
                  <c:v>441</c:v>
                </c:pt>
                <c:pt idx="45">
                  <c:v>451</c:v>
                </c:pt>
                <c:pt idx="46">
                  <c:v>461</c:v>
                </c:pt>
                <c:pt idx="47">
                  <c:v>471</c:v>
                </c:pt>
                <c:pt idx="48">
                  <c:v>481</c:v>
                </c:pt>
                <c:pt idx="49">
                  <c:v>491</c:v>
                </c:pt>
                <c:pt idx="50">
                  <c:v>501</c:v>
                </c:pt>
                <c:pt idx="51">
                  <c:v>511</c:v>
                </c:pt>
                <c:pt idx="52">
                  <c:v>521</c:v>
                </c:pt>
                <c:pt idx="53">
                  <c:v>531</c:v>
                </c:pt>
                <c:pt idx="54">
                  <c:v>541</c:v>
                </c:pt>
                <c:pt idx="55">
                  <c:v>551</c:v>
                </c:pt>
                <c:pt idx="56">
                  <c:v>561</c:v>
                </c:pt>
                <c:pt idx="57">
                  <c:v>571</c:v>
                </c:pt>
                <c:pt idx="58">
                  <c:v>581</c:v>
                </c:pt>
                <c:pt idx="59">
                  <c:v>591</c:v>
                </c:pt>
                <c:pt idx="60">
                  <c:v>601</c:v>
                </c:pt>
                <c:pt idx="61">
                  <c:v>611</c:v>
                </c:pt>
                <c:pt idx="62">
                  <c:v>621</c:v>
                </c:pt>
                <c:pt idx="63">
                  <c:v>631</c:v>
                </c:pt>
                <c:pt idx="64">
                  <c:v>641</c:v>
                </c:pt>
                <c:pt idx="65">
                  <c:v>651</c:v>
                </c:pt>
                <c:pt idx="66">
                  <c:v>661</c:v>
                </c:pt>
                <c:pt idx="67">
                  <c:v>671</c:v>
                </c:pt>
                <c:pt idx="68">
                  <c:v>681</c:v>
                </c:pt>
                <c:pt idx="69">
                  <c:v>691</c:v>
                </c:pt>
                <c:pt idx="70">
                  <c:v>701</c:v>
                </c:pt>
                <c:pt idx="71">
                  <c:v>711</c:v>
                </c:pt>
                <c:pt idx="72">
                  <c:v>721</c:v>
                </c:pt>
                <c:pt idx="73">
                  <c:v>731</c:v>
                </c:pt>
                <c:pt idx="74">
                  <c:v>741</c:v>
                </c:pt>
                <c:pt idx="75">
                  <c:v>751</c:v>
                </c:pt>
                <c:pt idx="76">
                  <c:v>761</c:v>
                </c:pt>
                <c:pt idx="77">
                  <c:v>771</c:v>
                </c:pt>
                <c:pt idx="78">
                  <c:v>781</c:v>
                </c:pt>
                <c:pt idx="79">
                  <c:v>791</c:v>
                </c:pt>
                <c:pt idx="80">
                  <c:v>801</c:v>
                </c:pt>
                <c:pt idx="81">
                  <c:v>811</c:v>
                </c:pt>
                <c:pt idx="82">
                  <c:v>821</c:v>
                </c:pt>
                <c:pt idx="83">
                  <c:v>831</c:v>
                </c:pt>
                <c:pt idx="84">
                  <c:v>841</c:v>
                </c:pt>
                <c:pt idx="85">
                  <c:v>851</c:v>
                </c:pt>
                <c:pt idx="86">
                  <c:v>861</c:v>
                </c:pt>
                <c:pt idx="87">
                  <c:v>871</c:v>
                </c:pt>
                <c:pt idx="88">
                  <c:v>881</c:v>
                </c:pt>
                <c:pt idx="89">
                  <c:v>891</c:v>
                </c:pt>
                <c:pt idx="90">
                  <c:v>901</c:v>
                </c:pt>
                <c:pt idx="91">
                  <c:v>911</c:v>
                </c:pt>
                <c:pt idx="92">
                  <c:v>921</c:v>
                </c:pt>
                <c:pt idx="93">
                  <c:v>931</c:v>
                </c:pt>
                <c:pt idx="94">
                  <c:v>941</c:v>
                </c:pt>
                <c:pt idx="95">
                  <c:v>951</c:v>
                </c:pt>
                <c:pt idx="96">
                  <c:v>961</c:v>
                </c:pt>
                <c:pt idx="97">
                  <c:v>971</c:v>
                </c:pt>
                <c:pt idx="98">
                  <c:v>981</c:v>
                </c:pt>
                <c:pt idx="99">
                  <c:v>991</c:v>
                </c:pt>
                <c:pt idx="100">
                  <c:v>1001</c:v>
                </c:pt>
                <c:pt idx="101">
                  <c:v>1011</c:v>
                </c:pt>
                <c:pt idx="102">
                  <c:v>1021</c:v>
                </c:pt>
                <c:pt idx="103">
                  <c:v>1031</c:v>
                </c:pt>
                <c:pt idx="104">
                  <c:v>1041</c:v>
                </c:pt>
                <c:pt idx="105">
                  <c:v>1051</c:v>
                </c:pt>
                <c:pt idx="106">
                  <c:v>1061</c:v>
                </c:pt>
                <c:pt idx="107">
                  <c:v>1071</c:v>
                </c:pt>
                <c:pt idx="108">
                  <c:v>1081</c:v>
                </c:pt>
                <c:pt idx="109">
                  <c:v>1091</c:v>
                </c:pt>
                <c:pt idx="110">
                  <c:v>1101</c:v>
                </c:pt>
                <c:pt idx="111">
                  <c:v>1111</c:v>
                </c:pt>
                <c:pt idx="112">
                  <c:v>1121</c:v>
                </c:pt>
                <c:pt idx="113">
                  <c:v>1131</c:v>
                </c:pt>
                <c:pt idx="114">
                  <c:v>1141</c:v>
                </c:pt>
                <c:pt idx="115">
                  <c:v>1151</c:v>
                </c:pt>
                <c:pt idx="116">
                  <c:v>1161</c:v>
                </c:pt>
                <c:pt idx="117">
                  <c:v>1171</c:v>
                </c:pt>
                <c:pt idx="118">
                  <c:v>1181</c:v>
                </c:pt>
                <c:pt idx="119">
                  <c:v>1191</c:v>
                </c:pt>
                <c:pt idx="120">
                  <c:v>1201</c:v>
                </c:pt>
                <c:pt idx="121">
                  <c:v>1211</c:v>
                </c:pt>
                <c:pt idx="122">
                  <c:v>1221</c:v>
                </c:pt>
                <c:pt idx="123">
                  <c:v>1231</c:v>
                </c:pt>
                <c:pt idx="124">
                  <c:v>1241</c:v>
                </c:pt>
                <c:pt idx="125">
                  <c:v>1251</c:v>
                </c:pt>
                <c:pt idx="126">
                  <c:v>1261</c:v>
                </c:pt>
                <c:pt idx="127">
                  <c:v>1271</c:v>
                </c:pt>
                <c:pt idx="128">
                  <c:v>1281</c:v>
                </c:pt>
                <c:pt idx="129">
                  <c:v>1291</c:v>
                </c:pt>
                <c:pt idx="130">
                  <c:v>1301</c:v>
                </c:pt>
                <c:pt idx="131">
                  <c:v>1311</c:v>
                </c:pt>
                <c:pt idx="132">
                  <c:v>1321</c:v>
                </c:pt>
                <c:pt idx="133">
                  <c:v>1331</c:v>
                </c:pt>
                <c:pt idx="134">
                  <c:v>1341</c:v>
                </c:pt>
                <c:pt idx="135">
                  <c:v>1351</c:v>
                </c:pt>
                <c:pt idx="136">
                  <c:v>1361</c:v>
                </c:pt>
                <c:pt idx="137">
                  <c:v>1371</c:v>
                </c:pt>
                <c:pt idx="138">
                  <c:v>1381</c:v>
                </c:pt>
                <c:pt idx="139">
                  <c:v>1391</c:v>
                </c:pt>
                <c:pt idx="140">
                  <c:v>1401</c:v>
                </c:pt>
                <c:pt idx="141">
                  <c:v>1411</c:v>
                </c:pt>
                <c:pt idx="142">
                  <c:v>1421</c:v>
                </c:pt>
                <c:pt idx="143">
                  <c:v>1431</c:v>
                </c:pt>
                <c:pt idx="144">
                  <c:v>1441</c:v>
                </c:pt>
                <c:pt idx="145">
                  <c:v>1451</c:v>
                </c:pt>
                <c:pt idx="146">
                  <c:v>1461</c:v>
                </c:pt>
                <c:pt idx="147">
                  <c:v>1471</c:v>
                </c:pt>
                <c:pt idx="148">
                  <c:v>1481</c:v>
                </c:pt>
                <c:pt idx="149">
                  <c:v>1491</c:v>
                </c:pt>
                <c:pt idx="150">
                  <c:v>1501</c:v>
                </c:pt>
                <c:pt idx="151">
                  <c:v>1511</c:v>
                </c:pt>
                <c:pt idx="152">
                  <c:v>1521</c:v>
                </c:pt>
                <c:pt idx="153">
                  <c:v>1531</c:v>
                </c:pt>
                <c:pt idx="154">
                  <c:v>1541</c:v>
                </c:pt>
                <c:pt idx="155">
                  <c:v>1551</c:v>
                </c:pt>
                <c:pt idx="156">
                  <c:v>1561</c:v>
                </c:pt>
                <c:pt idx="157">
                  <c:v>1571</c:v>
                </c:pt>
                <c:pt idx="158">
                  <c:v>1581</c:v>
                </c:pt>
                <c:pt idx="159">
                  <c:v>1591</c:v>
                </c:pt>
                <c:pt idx="160">
                  <c:v>1601</c:v>
                </c:pt>
                <c:pt idx="161">
                  <c:v>1611</c:v>
                </c:pt>
                <c:pt idx="162">
                  <c:v>1621</c:v>
                </c:pt>
                <c:pt idx="163">
                  <c:v>1631</c:v>
                </c:pt>
                <c:pt idx="164">
                  <c:v>1641</c:v>
                </c:pt>
                <c:pt idx="165">
                  <c:v>1651</c:v>
                </c:pt>
                <c:pt idx="166">
                  <c:v>1661</c:v>
                </c:pt>
                <c:pt idx="167">
                  <c:v>1671</c:v>
                </c:pt>
                <c:pt idx="168">
                  <c:v>1681</c:v>
                </c:pt>
                <c:pt idx="169">
                  <c:v>1691</c:v>
                </c:pt>
                <c:pt idx="170">
                  <c:v>1701</c:v>
                </c:pt>
                <c:pt idx="171">
                  <c:v>1711</c:v>
                </c:pt>
                <c:pt idx="172">
                  <c:v>1721</c:v>
                </c:pt>
                <c:pt idx="173">
                  <c:v>1731</c:v>
                </c:pt>
                <c:pt idx="174">
                  <c:v>1741</c:v>
                </c:pt>
                <c:pt idx="175">
                  <c:v>1751</c:v>
                </c:pt>
                <c:pt idx="176">
                  <c:v>1761</c:v>
                </c:pt>
                <c:pt idx="177">
                  <c:v>1771</c:v>
                </c:pt>
                <c:pt idx="178">
                  <c:v>1781</c:v>
                </c:pt>
                <c:pt idx="179">
                  <c:v>1791</c:v>
                </c:pt>
                <c:pt idx="180">
                  <c:v>1801</c:v>
                </c:pt>
                <c:pt idx="181">
                  <c:v>1811</c:v>
                </c:pt>
                <c:pt idx="182">
                  <c:v>1821</c:v>
                </c:pt>
                <c:pt idx="183">
                  <c:v>1831</c:v>
                </c:pt>
                <c:pt idx="184">
                  <c:v>1841</c:v>
                </c:pt>
                <c:pt idx="185">
                  <c:v>1851</c:v>
                </c:pt>
                <c:pt idx="186">
                  <c:v>1861</c:v>
                </c:pt>
                <c:pt idx="187">
                  <c:v>1871</c:v>
                </c:pt>
                <c:pt idx="188">
                  <c:v>1881</c:v>
                </c:pt>
                <c:pt idx="189">
                  <c:v>1891</c:v>
                </c:pt>
                <c:pt idx="190">
                  <c:v>1901</c:v>
                </c:pt>
                <c:pt idx="191">
                  <c:v>1911</c:v>
                </c:pt>
                <c:pt idx="192">
                  <c:v>1921</c:v>
                </c:pt>
                <c:pt idx="193">
                  <c:v>1931</c:v>
                </c:pt>
                <c:pt idx="194">
                  <c:v>1941</c:v>
                </c:pt>
                <c:pt idx="195">
                  <c:v>1951</c:v>
                </c:pt>
                <c:pt idx="196">
                  <c:v>1961</c:v>
                </c:pt>
                <c:pt idx="197">
                  <c:v>1971</c:v>
                </c:pt>
                <c:pt idx="198">
                  <c:v>1981</c:v>
                </c:pt>
                <c:pt idx="199">
                  <c:v>1991</c:v>
                </c:pt>
                <c:pt idx="200">
                  <c:v>2001</c:v>
                </c:pt>
                <c:pt idx="201">
                  <c:v>2011</c:v>
                </c:pt>
                <c:pt idx="202">
                  <c:v>2021</c:v>
                </c:pt>
                <c:pt idx="203">
                  <c:v>2031</c:v>
                </c:pt>
                <c:pt idx="204">
                  <c:v>2041</c:v>
                </c:pt>
                <c:pt idx="205">
                  <c:v>2051</c:v>
                </c:pt>
                <c:pt idx="206">
                  <c:v>2061</c:v>
                </c:pt>
                <c:pt idx="207">
                  <c:v>2071</c:v>
                </c:pt>
                <c:pt idx="208">
                  <c:v>2081</c:v>
                </c:pt>
                <c:pt idx="209">
                  <c:v>2091</c:v>
                </c:pt>
                <c:pt idx="210">
                  <c:v>2101</c:v>
                </c:pt>
                <c:pt idx="211">
                  <c:v>2111</c:v>
                </c:pt>
                <c:pt idx="212">
                  <c:v>2121</c:v>
                </c:pt>
                <c:pt idx="213">
                  <c:v>2131</c:v>
                </c:pt>
                <c:pt idx="214">
                  <c:v>2141</c:v>
                </c:pt>
                <c:pt idx="215">
                  <c:v>2151</c:v>
                </c:pt>
                <c:pt idx="216">
                  <c:v>2161</c:v>
                </c:pt>
                <c:pt idx="217">
                  <c:v>2171</c:v>
                </c:pt>
                <c:pt idx="218">
                  <c:v>2181</c:v>
                </c:pt>
                <c:pt idx="219">
                  <c:v>2191</c:v>
                </c:pt>
                <c:pt idx="220">
                  <c:v>2201</c:v>
                </c:pt>
                <c:pt idx="221">
                  <c:v>2211</c:v>
                </c:pt>
                <c:pt idx="222">
                  <c:v>2221</c:v>
                </c:pt>
              </c:numCache>
            </c:numRef>
          </c:cat>
          <c:val>
            <c:numRef>
              <c:f>Hoja1!$AK$1:$AK$223</c:f>
              <c:numCache>
                <c:formatCode>General</c:formatCode>
                <c:ptCount val="2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A8-4742-B4C1-E9CAD2B37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941064"/>
        <c:axId val="480942704"/>
      </c:lineChart>
      <c:catAx>
        <c:axId val="48094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0942704"/>
        <c:crosses val="autoZero"/>
        <c:auto val="1"/>
        <c:lblAlgn val="ctr"/>
        <c:lblOffset val="100"/>
        <c:noMultiLvlLbl val="0"/>
      </c:catAx>
      <c:valAx>
        <c:axId val="480942704"/>
        <c:scaling>
          <c:orientation val="minMax"/>
          <c:max val="6"/>
          <c:min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0941064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tx1">
        <a:lumMod val="65000"/>
        <a:lumOff val="3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9</xdr:row>
          <xdr:rowOff>19050</xdr:rowOff>
        </xdr:from>
        <xdr:to>
          <xdr:col>16</xdr:col>
          <xdr:colOff>542925</xdr:colOff>
          <xdr:row>10</xdr:row>
          <xdr:rowOff>0</xdr:rowOff>
        </xdr:to>
        <xdr:sp macro="" textlink="">
          <xdr:nvSpPr>
            <xdr:cNvPr id="1026" name="Ente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10</xdr:row>
          <xdr:rowOff>19050</xdr:rowOff>
        </xdr:from>
        <xdr:to>
          <xdr:col>16</xdr:col>
          <xdr:colOff>542925</xdr:colOff>
          <xdr:row>11</xdr:row>
          <xdr:rowOff>0</xdr:rowOff>
        </xdr:to>
        <xdr:sp macro="" textlink="">
          <xdr:nvSpPr>
            <xdr:cNvPr id="1027" name="Enter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11</xdr:row>
          <xdr:rowOff>19050</xdr:rowOff>
        </xdr:from>
        <xdr:to>
          <xdr:col>16</xdr:col>
          <xdr:colOff>542925</xdr:colOff>
          <xdr:row>12</xdr:row>
          <xdr:rowOff>0</xdr:rowOff>
        </xdr:to>
        <xdr:sp macro="" textlink="">
          <xdr:nvSpPr>
            <xdr:cNvPr id="1028" name="Enter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12</xdr:row>
          <xdr:rowOff>19050</xdr:rowOff>
        </xdr:from>
        <xdr:to>
          <xdr:col>16</xdr:col>
          <xdr:colOff>542925</xdr:colOff>
          <xdr:row>13</xdr:row>
          <xdr:rowOff>0</xdr:rowOff>
        </xdr:to>
        <xdr:sp macro="" textlink="">
          <xdr:nvSpPr>
            <xdr:cNvPr id="1029" name="Enter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13</xdr:row>
          <xdr:rowOff>19050</xdr:rowOff>
        </xdr:from>
        <xdr:to>
          <xdr:col>16</xdr:col>
          <xdr:colOff>542925</xdr:colOff>
          <xdr:row>14</xdr:row>
          <xdr:rowOff>0</xdr:rowOff>
        </xdr:to>
        <xdr:sp macro="" textlink="">
          <xdr:nvSpPr>
            <xdr:cNvPr id="1030" name="Enter5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14</xdr:row>
          <xdr:rowOff>19050</xdr:rowOff>
        </xdr:from>
        <xdr:to>
          <xdr:col>16</xdr:col>
          <xdr:colOff>542925</xdr:colOff>
          <xdr:row>15</xdr:row>
          <xdr:rowOff>0</xdr:rowOff>
        </xdr:to>
        <xdr:sp macro="" textlink="">
          <xdr:nvSpPr>
            <xdr:cNvPr id="1031" name="Enter6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15</xdr:row>
          <xdr:rowOff>142875</xdr:rowOff>
        </xdr:from>
        <xdr:to>
          <xdr:col>16</xdr:col>
          <xdr:colOff>638175</xdr:colOff>
          <xdr:row>16</xdr:row>
          <xdr:rowOff>123825</xdr:rowOff>
        </xdr:to>
        <xdr:sp macro="" textlink="">
          <xdr:nvSpPr>
            <xdr:cNvPr id="1032" name="Nueva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16567</xdr:colOff>
      <xdr:row>8</xdr:row>
      <xdr:rowOff>190497</xdr:rowOff>
    </xdr:from>
    <xdr:to>
      <xdr:col>17</xdr:col>
      <xdr:colOff>2592457</xdr:colOff>
      <xdr:row>16</xdr:row>
      <xdr:rowOff>10823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828675</xdr:colOff>
          <xdr:row>16</xdr:row>
          <xdr:rowOff>152400</xdr:rowOff>
        </xdr:from>
        <xdr:to>
          <xdr:col>19</xdr:col>
          <xdr:colOff>542925</xdr:colOff>
          <xdr:row>18</xdr:row>
          <xdr:rowOff>47625</xdr:rowOff>
        </xdr:to>
        <xdr:sp macro="" textlink="">
          <xdr:nvSpPr>
            <xdr:cNvPr id="1033" name="Reiniciar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342901</xdr:colOff>
      <xdr:row>56</xdr:row>
      <xdr:rowOff>152400</xdr:rowOff>
    </xdr:from>
    <xdr:to>
      <xdr:col>19</xdr:col>
      <xdr:colOff>542925</xdr:colOff>
      <xdr:row>72</xdr:row>
      <xdr:rowOff>1361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L2284"/>
  <sheetViews>
    <sheetView tabSelected="1" topLeftCell="B8" zoomScaleNormal="100" workbookViewId="0">
      <selection activeCell="D10" sqref="D10"/>
    </sheetView>
  </sheetViews>
  <sheetFormatPr baseColWidth="10" defaultColWidth="0" defaultRowHeight="15" zeroHeight="1" x14ac:dyDescent="0.25"/>
  <cols>
    <col min="1" max="1" width="2.140625" hidden="1" customWidth="1"/>
    <col min="2" max="2" width="5.5703125" customWidth="1"/>
    <col min="3" max="3" width="5.7109375" customWidth="1"/>
    <col min="4" max="8" width="5.7109375" style="1" customWidth="1"/>
    <col min="9" max="9" width="5.7109375" customWidth="1"/>
    <col min="10" max="10" width="2.28515625" hidden="1" customWidth="1"/>
    <col min="11" max="11" width="3.7109375" hidden="1" customWidth="1"/>
    <col min="12" max="12" width="7.140625" hidden="1" customWidth="1"/>
    <col min="13" max="14" width="3.7109375" hidden="1" customWidth="1"/>
    <col min="15" max="16" width="3.7109375" customWidth="1"/>
    <col min="17" max="17" width="14.28515625" customWidth="1"/>
    <col min="18" max="18" width="40.42578125" customWidth="1"/>
    <col min="19" max="19" width="22.5703125" customWidth="1"/>
    <col min="20" max="20" width="8.28515625" customWidth="1"/>
    <col min="21" max="21" width="3.7109375" customWidth="1"/>
    <col min="22" max="24" width="3.7109375" hidden="1" customWidth="1"/>
    <col min="25" max="25" width="6.28515625" hidden="1" customWidth="1"/>
    <col min="26" max="26" width="7" hidden="1" customWidth="1"/>
    <col min="27" max="27" width="7.7109375" hidden="1" customWidth="1"/>
    <col min="28" max="32" width="3.7109375" style="1" hidden="1" customWidth="1"/>
    <col min="33" max="33" width="3.7109375" hidden="1" customWidth="1"/>
    <col min="34" max="36" width="6.85546875" hidden="1" customWidth="1"/>
    <col min="37" max="16384" width="11.42578125" hidden="1"/>
  </cols>
  <sheetData>
    <row r="1" spans="1:38" hidden="1" x14ac:dyDescent="0.25">
      <c r="D1" s="3"/>
      <c r="E1" s="3"/>
      <c r="Y1" s="8">
        <f>COUNT(Z:Z)</f>
        <v>0</v>
      </c>
      <c r="AA1" t="s">
        <v>223</v>
      </c>
      <c r="AB1" s="1" t="s">
        <v>1914</v>
      </c>
      <c r="AC1" s="1" t="s">
        <v>5</v>
      </c>
      <c r="AD1" s="1" t="s">
        <v>1921</v>
      </c>
      <c r="AE1" s="1" t="s">
        <v>1</v>
      </c>
      <c r="AF1" s="1" t="s">
        <v>3</v>
      </c>
      <c r="AG1">
        <f>IF(AND(Z1&gt;0,Z1&lt;7),1,0)</f>
        <v>0</v>
      </c>
      <c r="AJ1">
        <v>1</v>
      </c>
      <c r="AK1" t="e">
        <f>IFERROR(AVERAGE(INDEX(Z:Z,AJ1,1):INDEX(Z:Z,AJ1+9,1)),NA())</f>
        <v>#N/A</v>
      </c>
      <c r="AL1" s="32" t="str">
        <f>T16</f>
        <v>-</v>
      </c>
    </row>
    <row r="2" spans="1:38" hidden="1" x14ac:dyDescent="0.25">
      <c r="D2" s="1" t="s">
        <v>1914</v>
      </c>
      <c r="E2" s="1" t="s">
        <v>5</v>
      </c>
      <c r="F2" s="1" t="s">
        <v>1921</v>
      </c>
      <c r="G2" s="1" t="s">
        <v>1</v>
      </c>
      <c r="H2" s="1" t="s">
        <v>3</v>
      </c>
      <c r="S2" t="e">
        <f>VLOOKUP(Y1,AJ1:AK223,2)</f>
        <v>#N/A</v>
      </c>
      <c r="Y2">
        <f>COUNTA(AB:AB)</f>
        <v>2283</v>
      </c>
      <c r="AA2" t="s">
        <v>1784</v>
      </c>
      <c r="AB2" s="1" t="s">
        <v>4</v>
      </c>
      <c r="AC2" s="1" t="s">
        <v>8</v>
      </c>
      <c r="AD2" s="1" t="s">
        <v>3</v>
      </c>
      <c r="AE2" s="1" t="s">
        <v>1914</v>
      </c>
      <c r="AF2" s="1" t="s">
        <v>1</v>
      </c>
      <c r="AG2">
        <f>IF(AND(Z2&gt;0,Z2&lt;7),AG1+1,0)</f>
        <v>0</v>
      </c>
      <c r="AJ2">
        <v>11</v>
      </c>
      <c r="AK2" t="e">
        <f>IFERROR(AVERAGE(INDEX(Z:Z,AJ2,1):INDEX(Z:Z,AJ2+9,1)),NA())</f>
        <v>#N/A</v>
      </c>
      <c r="AL2" s="32" t="str">
        <f>AL1</f>
        <v>-</v>
      </c>
    </row>
    <row r="3" spans="1:38" hidden="1" x14ac:dyDescent="0.25">
      <c r="X3" s="9">
        <v>1</v>
      </c>
      <c r="Y3" s="10">
        <f>COUNTIF(Z:Z,"=1")</f>
        <v>0</v>
      </c>
      <c r="AA3" t="s">
        <v>728</v>
      </c>
      <c r="AB3" s="1" t="s">
        <v>1921</v>
      </c>
      <c r="AC3" s="1" t="s">
        <v>11</v>
      </c>
      <c r="AD3" s="1" t="s">
        <v>6</v>
      </c>
      <c r="AE3" s="1" t="s">
        <v>10</v>
      </c>
      <c r="AF3" s="1" t="s">
        <v>5</v>
      </c>
      <c r="AG3">
        <f t="shared" ref="AG3:AG66" si="0">IF(AND(Z3&gt;0,Z3&lt;7),AG2+1,0)</f>
        <v>0</v>
      </c>
      <c r="AJ3">
        <v>21</v>
      </c>
      <c r="AK3" t="e">
        <f>IFERROR(AVERAGE(INDEX(Z:Z,AJ3,1):INDEX(Z:Z,AJ3+9,1)),NA())</f>
        <v>#N/A</v>
      </c>
      <c r="AL3" s="32" t="str">
        <f t="shared" ref="AL3:AL66" si="1">AL2</f>
        <v>-</v>
      </c>
    </row>
    <row r="4" spans="1:38" hidden="1" x14ac:dyDescent="0.25">
      <c r="X4" s="11">
        <v>2</v>
      </c>
      <c r="Y4" s="12">
        <f>COUNTIF(Z:Z,"=2")</f>
        <v>0</v>
      </c>
      <c r="AA4" t="s">
        <v>1576</v>
      </c>
      <c r="AB4" s="1" t="s">
        <v>2</v>
      </c>
      <c r="AC4" s="1" t="s">
        <v>11</v>
      </c>
      <c r="AD4" s="1" t="s">
        <v>3</v>
      </c>
      <c r="AE4" s="1" t="s">
        <v>10</v>
      </c>
      <c r="AF4" s="1" t="s">
        <v>11</v>
      </c>
      <c r="AG4">
        <f t="shared" si="0"/>
        <v>0</v>
      </c>
      <c r="AJ4">
        <v>31</v>
      </c>
      <c r="AK4" t="e">
        <f>IFERROR(AVERAGE(INDEX(Z:Z,AJ4,1):INDEX(Z:Z,AJ4+9,1)),NA())</f>
        <v>#N/A</v>
      </c>
      <c r="AL4" s="32" t="str">
        <f t="shared" si="1"/>
        <v>-</v>
      </c>
    </row>
    <row r="5" spans="1:38" hidden="1" x14ac:dyDescent="0.25">
      <c r="X5" s="11">
        <v>3</v>
      </c>
      <c r="Y5" s="12">
        <f>COUNTIF(Z:Z,"=3")</f>
        <v>0</v>
      </c>
      <c r="AA5" t="s">
        <v>1019</v>
      </c>
      <c r="AB5" s="1" t="s">
        <v>13</v>
      </c>
      <c r="AC5" s="1" t="s">
        <v>1</v>
      </c>
      <c r="AD5" s="1" t="s">
        <v>13</v>
      </c>
      <c r="AE5" s="1" t="s">
        <v>8</v>
      </c>
      <c r="AF5" s="1" t="s">
        <v>4</v>
      </c>
      <c r="AG5">
        <f t="shared" si="0"/>
        <v>0</v>
      </c>
      <c r="AJ5">
        <v>41</v>
      </c>
      <c r="AK5" t="e">
        <f>IFERROR(AVERAGE(INDEX(Z:Z,AJ5,1):INDEX(Z:Z,AJ5+9,1)),NA())</f>
        <v>#N/A</v>
      </c>
      <c r="AL5" s="32" t="str">
        <f t="shared" si="1"/>
        <v>-</v>
      </c>
    </row>
    <row r="6" spans="1:38" hidden="1" x14ac:dyDescent="0.25">
      <c r="X6" s="11">
        <v>4</v>
      </c>
      <c r="Y6" s="12">
        <f>COUNTIF(Z:Z,"=4")</f>
        <v>0</v>
      </c>
      <c r="AA6" t="s">
        <v>428</v>
      </c>
      <c r="AB6" s="1" t="s">
        <v>0</v>
      </c>
      <c r="AC6" s="1" t="s">
        <v>7</v>
      </c>
      <c r="AD6" s="1" t="s">
        <v>5</v>
      </c>
      <c r="AE6" s="1" t="s">
        <v>3</v>
      </c>
      <c r="AF6" s="1" t="s">
        <v>5</v>
      </c>
      <c r="AG6">
        <f t="shared" si="0"/>
        <v>0</v>
      </c>
      <c r="AJ6">
        <v>51</v>
      </c>
      <c r="AK6" t="e">
        <f>IFERROR(AVERAGE(INDEX(Z:Z,AJ6,1):INDEX(Z:Z,AJ6+9,1)),NA())</f>
        <v>#N/A</v>
      </c>
      <c r="AL6" s="32" t="str">
        <f t="shared" si="1"/>
        <v>-</v>
      </c>
    </row>
    <row r="7" spans="1:38" hidden="1" x14ac:dyDescent="0.25">
      <c r="X7" s="11">
        <v>5</v>
      </c>
      <c r="Y7" s="12">
        <f>COUNTIF(Z:Z,"=5")</f>
        <v>0</v>
      </c>
      <c r="AA7" t="s">
        <v>1612</v>
      </c>
      <c r="AB7" s="1" t="s">
        <v>2</v>
      </c>
      <c r="AC7" s="1" t="s">
        <v>5</v>
      </c>
      <c r="AD7" s="1" t="s">
        <v>7</v>
      </c>
      <c r="AE7" s="1" t="s">
        <v>1</v>
      </c>
      <c r="AF7" s="1" t="s">
        <v>3</v>
      </c>
      <c r="AG7">
        <f t="shared" si="0"/>
        <v>0</v>
      </c>
      <c r="AJ7">
        <v>61</v>
      </c>
      <c r="AK7" t="e">
        <f>IFERROR(AVERAGE(INDEX(Z:Z,AJ7,1):INDEX(Z:Z,AJ7+9,1)),NA())</f>
        <v>#N/A</v>
      </c>
      <c r="AL7" s="32" t="str">
        <f t="shared" si="1"/>
        <v>-</v>
      </c>
    </row>
    <row r="8" spans="1:38" x14ac:dyDescent="0.25">
      <c r="A8" s="6"/>
      <c r="B8" s="6"/>
      <c r="C8" s="6"/>
      <c r="D8" s="7"/>
      <c r="E8" s="7"/>
      <c r="F8" s="7"/>
      <c r="G8" s="7"/>
      <c r="H8" s="7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X8" s="11">
        <v>6</v>
      </c>
      <c r="Y8" s="12">
        <f>COUNTIF(Z:Z,"=6")</f>
        <v>0</v>
      </c>
      <c r="AA8" t="s">
        <v>479</v>
      </c>
      <c r="AB8" s="1" t="s">
        <v>0</v>
      </c>
      <c r="AC8" s="1" t="s">
        <v>3</v>
      </c>
      <c r="AD8" s="1" t="s">
        <v>5</v>
      </c>
      <c r="AE8" s="1" t="s">
        <v>2</v>
      </c>
      <c r="AF8" s="1" t="s">
        <v>2</v>
      </c>
      <c r="AG8">
        <f t="shared" si="0"/>
        <v>0</v>
      </c>
      <c r="AJ8">
        <v>71</v>
      </c>
      <c r="AK8" t="e">
        <f>IFERROR(AVERAGE(INDEX(Z:Z,AJ8,1):INDEX(Z:Z,AJ8+9,1)),NA())</f>
        <v>#N/A</v>
      </c>
      <c r="AL8" s="32" t="str">
        <f t="shared" si="1"/>
        <v>-</v>
      </c>
    </row>
    <row r="9" spans="1:38" x14ac:dyDescent="0.25">
      <c r="A9" s="6"/>
      <c r="B9" s="6"/>
      <c r="C9" s="6"/>
      <c r="D9" s="7"/>
      <c r="E9" s="7"/>
      <c r="F9" s="7"/>
      <c r="G9" s="7"/>
      <c r="H9" s="7"/>
      <c r="I9" s="6"/>
      <c r="J9" s="6" t="s">
        <v>2323</v>
      </c>
      <c r="K9" s="6" t="s">
        <v>1464</v>
      </c>
      <c r="L9" s="6" t="s">
        <v>1982</v>
      </c>
      <c r="M9" s="6" t="s">
        <v>30</v>
      </c>
      <c r="N9" s="6"/>
      <c r="O9" s="6"/>
      <c r="P9" s="6"/>
      <c r="Q9" s="6"/>
      <c r="R9" s="6"/>
      <c r="S9" s="6"/>
      <c r="T9" s="6"/>
      <c r="U9" s="6"/>
      <c r="X9" s="13" t="s">
        <v>1931</v>
      </c>
      <c r="Y9" s="14">
        <f>COUNTIF(Z:Z,"=7")</f>
        <v>0</v>
      </c>
      <c r="AA9" t="s">
        <v>1184</v>
      </c>
      <c r="AB9" s="1" t="s">
        <v>6</v>
      </c>
      <c r="AC9" s="1" t="s">
        <v>5</v>
      </c>
      <c r="AD9" s="1" t="s">
        <v>4</v>
      </c>
      <c r="AE9" s="1" t="s">
        <v>1</v>
      </c>
      <c r="AF9" s="1" t="s">
        <v>2</v>
      </c>
      <c r="AG9">
        <f t="shared" si="0"/>
        <v>0</v>
      </c>
      <c r="AI9" s="2"/>
      <c r="AJ9">
        <v>81</v>
      </c>
      <c r="AK9" t="e">
        <f>IFERROR(AVERAGE(INDEX(Z:Z,AJ9,1):INDEX(Z:Z,AJ9+9,1)),NA())</f>
        <v>#N/A</v>
      </c>
      <c r="AL9" s="32" t="str">
        <f t="shared" si="1"/>
        <v>-</v>
      </c>
    </row>
    <row r="10" spans="1:38" ht="24.95" customHeight="1" x14ac:dyDescent="0.25">
      <c r="A10" s="6"/>
      <c r="B10" s="6"/>
      <c r="C10" s="6"/>
      <c r="D10" s="4"/>
      <c r="E10" s="4"/>
      <c r="F10" s="4"/>
      <c r="G10" s="4"/>
      <c r="H10" s="4"/>
      <c r="I10" s="6"/>
      <c r="J10" s="6">
        <v>0</v>
      </c>
      <c r="K10" s="6">
        <f t="shared" ref="K10:K15" si="2">IF(AND(D10&gt;0,E10&gt;0,F10&gt;0,G10&gt;0,H10&gt;0),1,0)</f>
        <v>0</v>
      </c>
      <c r="L10" s="6">
        <f>IFERROR(VLOOKUP(D10&amp;E10&amp;F10&amp;G10&amp;H10,AA:AA,1,0),0)</f>
        <v>0</v>
      </c>
      <c r="M10" s="6">
        <f t="shared" ref="M10:M15" si="3">IF(AND(D10=D$2,E10=E$2,F10=F$2,G10=G$2,H10=H$2)=TRUE,1,0)</f>
        <v>0</v>
      </c>
      <c r="N10" s="6"/>
      <c r="O10" s="6"/>
      <c r="P10" s="6"/>
      <c r="Q10" s="6"/>
      <c r="R10" s="6"/>
      <c r="S10" s="37" t="s">
        <v>1933</v>
      </c>
      <c r="T10" s="34">
        <f>Y1</f>
        <v>0</v>
      </c>
      <c r="U10" s="6"/>
      <c r="W10" s="5" t="s">
        <v>1</v>
      </c>
      <c r="AA10" t="s">
        <v>2074</v>
      </c>
      <c r="AB10" s="1" t="s">
        <v>1920</v>
      </c>
      <c r="AC10" s="1" t="s">
        <v>11</v>
      </c>
      <c r="AD10" s="1" t="s">
        <v>4</v>
      </c>
      <c r="AE10" s="1" t="s">
        <v>11</v>
      </c>
      <c r="AF10" s="1" t="s">
        <v>6</v>
      </c>
      <c r="AG10">
        <f t="shared" si="0"/>
        <v>0</v>
      </c>
      <c r="AJ10">
        <v>91</v>
      </c>
      <c r="AK10" t="e">
        <f>IFERROR(AVERAGE(INDEX(Z:Z,AJ10,1):INDEX(Z:Z,AJ10+9,1)),NA())</f>
        <v>#N/A</v>
      </c>
      <c r="AL10" s="32" t="str">
        <f t="shared" si="1"/>
        <v>-</v>
      </c>
    </row>
    <row r="11" spans="1:38" ht="24.95" customHeight="1" x14ac:dyDescent="0.25">
      <c r="A11" s="6"/>
      <c r="B11" s="6"/>
      <c r="C11" s="6"/>
      <c r="D11" s="4"/>
      <c r="E11" s="4"/>
      <c r="F11" s="4"/>
      <c r="G11" s="4"/>
      <c r="H11" s="4"/>
      <c r="I11" s="6"/>
      <c r="J11" s="6">
        <v>0</v>
      </c>
      <c r="K11" s="6">
        <f t="shared" si="2"/>
        <v>0</v>
      </c>
      <c r="L11" s="6">
        <f t="shared" ref="L11:L15" si="4">IFERROR(VLOOKUP(D11&amp;E11&amp;F11&amp;G11&amp;H11,AA:AA,1,0),0)</f>
        <v>0</v>
      </c>
      <c r="M11" s="6">
        <f t="shared" si="3"/>
        <v>0</v>
      </c>
      <c r="N11" s="6"/>
      <c r="O11" s="6"/>
      <c r="P11" s="6"/>
      <c r="Q11" s="6"/>
      <c r="R11" s="6"/>
      <c r="S11" s="37" t="s">
        <v>1934</v>
      </c>
      <c r="T11" s="34">
        <f>COUNTIF(Z:Z,"&lt;7")</f>
        <v>0</v>
      </c>
      <c r="U11" s="6"/>
      <c r="W11" s="5" t="s">
        <v>1914</v>
      </c>
      <c r="AA11" t="s">
        <v>1591</v>
      </c>
      <c r="AB11" s="1" t="s">
        <v>2</v>
      </c>
      <c r="AC11" s="1" t="s">
        <v>10</v>
      </c>
      <c r="AD11" s="1" t="s">
        <v>1921</v>
      </c>
      <c r="AE11" s="1" t="s">
        <v>7</v>
      </c>
      <c r="AF11" s="1" t="s">
        <v>5</v>
      </c>
      <c r="AG11">
        <f t="shared" si="0"/>
        <v>0</v>
      </c>
      <c r="AJ11">
        <v>101</v>
      </c>
      <c r="AK11" t="e">
        <f>IFERROR(AVERAGE(INDEX(Z:Z,AJ11,1):INDEX(Z:Z,AJ11+9,1)),NA())</f>
        <v>#N/A</v>
      </c>
      <c r="AL11" s="32" t="str">
        <f t="shared" si="1"/>
        <v>-</v>
      </c>
    </row>
    <row r="12" spans="1:38" ht="24.95" customHeight="1" x14ac:dyDescent="0.25">
      <c r="A12" s="6"/>
      <c r="B12" s="6"/>
      <c r="C12" s="6"/>
      <c r="D12" s="4"/>
      <c r="E12" s="4"/>
      <c r="F12" s="4"/>
      <c r="G12" s="4"/>
      <c r="H12" s="4"/>
      <c r="I12" s="6"/>
      <c r="J12" s="6">
        <v>0</v>
      </c>
      <c r="K12" s="6">
        <f t="shared" si="2"/>
        <v>0</v>
      </c>
      <c r="L12" s="6">
        <f t="shared" si="4"/>
        <v>0</v>
      </c>
      <c r="M12" s="6">
        <f t="shared" si="3"/>
        <v>0</v>
      </c>
      <c r="N12" s="6"/>
      <c r="O12" s="6"/>
      <c r="P12" s="6"/>
      <c r="Q12" s="6"/>
      <c r="R12" s="6"/>
      <c r="S12" s="37" t="s">
        <v>1935</v>
      </c>
      <c r="T12" s="35" t="str">
        <f>IFERROR(T11/T10,"-")</f>
        <v>-</v>
      </c>
      <c r="U12" s="6"/>
      <c r="W12" s="5" t="s">
        <v>0</v>
      </c>
      <c r="AA12" t="s">
        <v>71</v>
      </c>
      <c r="AB12" s="1" t="s">
        <v>1</v>
      </c>
      <c r="AC12" s="1" t="s">
        <v>13</v>
      </c>
      <c r="AD12" s="1" t="s">
        <v>1914</v>
      </c>
      <c r="AE12" s="1" t="s">
        <v>1</v>
      </c>
      <c r="AF12" s="1" t="s">
        <v>2</v>
      </c>
      <c r="AG12">
        <f t="shared" si="0"/>
        <v>0</v>
      </c>
      <c r="AJ12">
        <v>111</v>
      </c>
      <c r="AK12" t="e">
        <f>IFERROR(AVERAGE(INDEX(Z:Z,AJ12,1):INDEX(Z:Z,AJ12+9,1)),NA())</f>
        <v>#N/A</v>
      </c>
      <c r="AL12" s="32" t="str">
        <f t="shared" si="1"/>
        <v>-</v>
      </c>
    </row>
    <row r="13" spans="1:38" ht="24.95" customHeight="1" x14ac:dyDescent="0.25">
      <c r="A13" s="6"/>
      <c r="B13" s="6"/>
      <c r="C13" s="6"/>
      <c r="D13" s="4"/>
      <c r="E13" s="4"/>
      <c r="F13" s="4"/>
      <c r="G13" s="4"/>
      <c r="H13" s="4"/>
      <c r="I13" s="6"/>
      <c r="J13" s="6">
        <v>0</v>
      </c>
      <c r="K13" s="6">
        <f t="shared" si="2"/>
        <v>0</v>
      </c>
      <c r="L13" s="6">
        <f t="shared" si="4"/>
        <v>0</v>
      </c>
      <c r="M13" s="6">
        <f t="shared" si="3"/>
        <v>0</v>
      </c>
      <c r="N13" s="6"/>
      <c r="O13" s="6"/>
      <c r="P13" s="6"/>
      <c r="Q13" s="6"/>
      <c r="R13" s="6"/>
      <c r="S13" s="37" t="s">
        <v>1936</v>
      </c>
      <c r="T13" s="34">
        <f>MAX(AG:AG)</f>
        <v>0</v>
      </c>
      <c r="U13" s="6"/>
      <c r="W13" s="5" t="s">
        <v>1915</v>
      </c>
      <c r="AA13" t="s">
        <v>1312</v>
      </c>
      <c r="AB13" s="1" t="s">
        <v>9</v>
      </c>
      <c r="AC13" s="1" t="s">
        <v>11</v>
      </c>
      <c r="AD13" s="1" t="s">
        <v>3</v>
      </c>
      <c r="AE13" s="1" t="s">
        <v>6</v>
      </c>
      <c r="AF13" s="1" t="s">
        <v>5</v>
      </c>
      <c r="AG13">
        <f t="shared" si="0"/>
        <v>0</v>
      </c>
      <c r="AJ13">
        <v>121</v>
      </c>
      <c r="AK13" t="e">
        <f>IFERROR(AVERAGE(INDEX(Z:Z,AJ13,1):INDEX(Z:Z,AJ13+9,1)),NA())</f>
        <v>#N/A</v>
      </c>
      <c r="AL13" s="32" t="str">
        <f t="shared" si="1"/>
        <v>-</v>
      </c>
    </row>
    <row r="14" spans="1:38" ht="24.95" customHeight="1" x14ac:dyDescent="0.25">
      <c r="A14" s="6"/>
      <c r="B14" s="6"/>
      <c r="C14" s="6"/>
      <c r="D14" s="4"/>
      <c r="E14" s="4"/>
      <c r="F14" s="4"/>
      <c r="G14" s="4"/>
      <c r="H14" s="4"/>
      <c r="I14" s="6"/>
      <c r="J14" s="6">
        <v>0</v>
      </c>
      <c r="K14" s="6">
        <f t="shared" si="2"/>
        <v>0</v>
      </c>
      <c r="L14" s="6">
        <f t="shared" si="4"/>
        <v>0</v>
      </c>
      <c r="M14" s="6">
        <f t="shared" si="3"/>
        <v>0</v>
      </c>
      <c r="N14" s="6"/>
      <c r="O14" s="6"/>
      <c r="P14" s="6"/>
      <c r="Q14" s="6"/>
      <c r="R14" s="6"/>
      <c r="S14" s="37" t="s">
        <v>1937</v>
      </c>
      <c r="T14" s="34">
        <f>INDEX(AG:AG,Y1,1)</f>
        <v>0</v>
      </c>
      <c r="U14" s="6"/>
      <c r="W14" s="5" t="s">
        <v>11</v>
      </c>
      <c r="AA14" t="s">
        <v>363</v>
      </c>
      <c r="AB14" s="1" t="s">
        <v>0</v>
      </c>
      <c r="AC14" s="1" t="s">
        <v>11</v>
      </c>
      <c r="AD14" s="1" t="s">
        <v>3</v>
      </c>
      <c r="AE14" s="1" t="s">
        <v>0</v>
      </c>
      <c r="AF14" s="1" t="s">
        <v>1</v>
      </c>
      <c r="AG14">
        <f t="shared" si="0"/>
        <v>0</v>
      </c>
      <c r="AJ14">
        <v>131</v>
      </c>
      <c r="AK14" t="e">
        <f>IFERROR(AVERAGE(INDEX(Z:Z,AJ14,1):INDEX(Z:Z,AJ14+9,1)),NA())</f>
        <v>#N/A</v>
      </c>
      <c r="AL14" s="32" t="str">
        <f t="shared" si="1"/>
        <v>-</v>
      </c>
    </row>
    <row r="15" spans="1:38" ht="24.95" customHeight="1" x14ac:dyDescent="0.25">
      <c r="A15" s="6"/>
      <c r="B15" s="6"/>
      <c r="C15" s="6"/>
      <c r="D15" s="4"/>
      <c r="E15" s="4"/>
      <c r="F15" s="4"/>
      <c r="G15" s="4"/>
      <c r="H15" s="4"/>
      <c r="I15" s="6"/>
      <c r="J15" s="6">
        <v>0</v>
      </c>
      <c r="K15" s="6">
        <f t="shared" si="2"/>
        <v>0</v>
      </c>
      <c r="L15" s="6">
        <f t="shared" si="4"/>
        <v>0</v>
      </c>
      <c r="M15" s="6">
        <f t="shared" si="3"/>
        <v>0</v>
      </c>
      <c r="N15" s="6"/>
      <c r="O15" s="6"/>
      <c r="P15" s="6"/>
      <c r="Q15" s="6"/>
      <c r="R15" s="6"/>
      <c r="S15" s="37" t="s">
        <v>1932</v>
      </c>
      <c r="T15" s="36" t="str">
        <f>IFERROR(AVERAGE(Z:Z),"-")</f>
        <v>-</v>
      </c>
      <c r="U15" s="6"/>
      <c r="W15" s="5" t="s">
        <v>1920</v>
      </c>
      <c r="AA15" t="s">
        <v>818</v>
      </c>
      <c r="AB15" s="1" t="s">
        <v>1917</v>
      </c>
      <c r="AC15" s="1" t="s">
        <v>10</v>
      </c>
      <c r="AD15" s="1" t="s">
        <v>1</v>
      </c>
      <c r="AE15" s="1" t="s">
        <v>4</v>
      </c>
      <c r="AF15" s="1" t="s">
        <v>5</v>
      </c>
      <c r="AG15">
        <f t="shared" si="0"/>
        <v>0</v>
      </c>
      <c r="AJ15">
        <v>141</v>
      </c>
      <c r="AK15" t="e">
        <f>IFERROR(AVERAGE(INDEX(Z:Z,AJ15,1):INDEX(Z:Z,AJ15+9,1)),NA())</f>
        <v>#N/A</v>
      </c>
      <c r="AL15" s="32" t="str">
        <f t="shared" si="1"/>
        <v>-</v>
      </c>
    </row>
    <row r="16" spans="1:38" ht="24.95" customHeight="1" thickBot="1" x14ac:dyDescent="0.3">
      <c r="A16" s="6"/>
      <c r="B16" s="6"/>
      <c r="C16" s="6"/>
      <c r="D16" s="7"/>
      <c r="E16" s="7"/>
      <c r="F16" s="7"/>
      <c r="G16" s="7"/>
      <c r="H16" s="7"/>
      <c r="I16" s="6"/>
      <c r="J16" s="6"/>
      <c r="K16" s="6"/>
      <c r="L16" s="6"/>
      <c r="M16" s="6"/>
      <c r="N16" s="6"/>
      <c r="O16" s="6"/>
      <c r="P16" s="6"/>
      <c r="Q16" s="6"/>
      <c r="R16" s="6"/>
      <c r="S16" s="33" t="s">
        <v>2326</v>
      </c>
      <c r="T16" s="36" t="str">
        <f>IFERROR(VLOOKUP(Y1,AJ1:AK223,2),"-")</f>
        <v>-</v>
      </c>
      <c r="U16" s="6"/>
      <c r="W16" s="5" t="s">
        <v>1921</v>
      </c>
      <c r="AA16" t="s">
        <v>248</v>
      </c>
      <c r="AB16" s="1" t="s">
        <v>1914</v>
      </c>
      <c r="AC16" s="1" t="s">
        <v>3</v>
      </c>
      <c r="AD16" s="1" t="s">
        <v>11</v>
      </c>
      <c r="AE16" s="1" t="s">
        <v>4</v>
      </c>
      <c r="AF16" s="1" t="s">
        <v>11</v>
      </c>
      <c r="AG16">
        <f t="shared" si="0"/>
        <v>0</v>
      </c>
      <c r="AJ16">
        <v>151</v>
      </c>
      <c r="AK16" t="e">
        <f>IFERROR(AVERAGE(INDEX(Z:Z,AJ16,1):INDEX(Z:Z,AJ16+9,1)),NA())</f>
        <v>#N/A</v>
      </c>
      <c r="AL16" s="32" t="str">
        <f t="shared" si="1"/>
        <v>-</v>
      </c>
    </row>
    <row r="17" spans="1:38" ht="15.75" thickBot="1" x14ac:dyDescent="0.3">
      <c r="A17" s="6"/>
      <c r="B17" s="6"/>
      <c r="C17" s="38" t="s">
        <v>1</v>
      </c>
      <c r="D17" s="38" t="s">
        <v>1914</v>
      </c>
      <c r="E17" s="38" t="s">
        <v>0</v>
      </c>
      <c r="F17" s="38" t="s">
        <v>1915</v>
      </c>
      <c r="G17" s="38" t="s">
        <v>11</v>
      </c>
      <c r="H17" s="38" t="s">
        <v>1920</v>
      </c>
      <c r="I17" s="38" t="s">
        <v>1921</v>
      </c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W17" s="5" t="s">
        <v>1917</v>
      </c>
      <c r="AA17" t="s">
        <v>243</v>
      </c>
      <c r="AB17" s="1" t="s">
        <v>1914</v>
      </c>
      <c r="AC17" s="1" t="s">
        <v>3</v>
      </c>
      <c r="AD17" s="1" t="s">
        <v>1</v>
      </c>
      <c r="AE17" s="1" t="s">
        <v>1919</v>
      </c>
      <c r="AF17" s="1" t="s">
        <v>1</v>
      </c>
      <c r="AG17">
        <f t="shared" si="0"/>
        <v>0</v>
      </c>
      <c r="AJ17">
        <v>161</v>
      </c>
      <c r="AK17" t="e">
        <f>IFERROR(AVERAGE(INDEX(Z:Z,AJ17,1):INDEX(Z:Z,AJ17+9,1)),NA())</f>
        <v>#N/A</v>
      </c>
      <c r="AL17" s="32" t="str">
        <f t="shared" si="1"/>
        <v>-</v>
      </c>
    </row>
    <row r="18" spans="1:38" ht="15.75" thickBot="1" x14ac:dyDescent="0.3">
      <c r="A18" s="6"/>
      <c r="B18" s="6"/>
      <c r="C18" s="38" t="s">
        <v>1917</v>
      </c>
      <c r="D18" s="38" t="s">
        <v>10</v>
      </c>
      <c r="E18" s="38" t="s">
        <v>15</v>
      </c>
      <c r="F18" s="38" t="s">
        <v>14</v>
      </c>
      <c r="G18" s="38" t="s">
        <v>7</v>
      </c>
      <c r="H18" s="38" t="s">
        <v>13</v>
      </c>
      <c r="I18" s="38" t="s">
        <v>6</v>
      </c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W18" s="5" t="s">
        <v>10</v>
      </c>
      <c r="AA18" t="s">
        <v>931</v>
      </c>
      <c r="AB18" s="1" t="s">
        <v>7</v>
      </c>
      <c r="AC18" s="1" t="s">
        <v>1</v>
      </c>
      <c r="AD18" s="1" t="s">
        <v>4</v>
      </c>
      <c r="AE18" s="1" t="s">
        <v>10</v>
      </c>
      <c r="AF18" s="1" t="s">
        <v>3</v>
      </c>
      <c r="AG18">
        <f t="shared" si="0"/>
        <v>0</v>
      </c>
      <c r="AJ18">
        <v>171</v>
      </c>
      <c r="AK18" t="e">
        <f>IFERROR(AVERAGE(INDEX(Z:Z,AJ18,1):INDEX(Z:Z,AJ18+9,1)),NA())</f>
        <v>#N/A</v>
      </c>
      <c r="AL18" s="32" t="str">
        <f t="shared" si="1"/>
        <v>-</v>
      </c>
    </row>
    <row r="19" spans="1:38" ht="15.75" thickBot="1" x14ac:dyDescent="0.3">
      <c r="A19" s="6"/>
      <c r="B19" s="6"/>
      <c r="C19" s="38" t="s">
        <v>1916</v>
      </c>
      <c r="D19" s="38" t="s">
        <v>5</v>
      </c>
      <c r="E19" s="38" t="s">
        <v>9</v>
      </c>
      <c r="F19" s="38" t="s">
        <v>1923</v>
      </c>
      <c r="G19" s="38" t="s">
        <v>3</v>
      </c>
      <c r="H19" s="38" t="s">
        <v>2</v>
      </c>
      <c r="I19" s="38" t="s">
        <v>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W19" s="5" t="s">
        <v>15</v>
      </c>
      <c r="AA19" t="s">
        <v>350</v>
      </c>
      <c r="AB19" s="1" t="s">
        <v>0</v>
      </c>
      <c r="AC19" s="1" t="s">
        <v>1</v>
      </c>
      <c r="AD19" s="1" t="s">
        <v>12</v>
      </c>
      <c r="AE19" s="1" t="s">
        <v>1</v>
      </c>
      <c r="AF19" s="1" t="s">
        <v>3</v>
      </c>
      <c r="AG19">
        <f t="shared" si="0"/>
        <v>0</v>
      </c>
      <c r="AJ19">
        <v>181</v>
      </c>
      <c r="AK19" t="e">
        <f>IFERROR(AVERAGE(INDEX(Z:Z,AJ19,1):INDEX(Z:Z,AJ19+9,1)),NA())</f>
        <v>#N/A</v>
      </c>
      <c r="AL19" s="32" t="str">
        <f t="shared" si="1"/>
        <v>-</v>
      </c>
    </row>
    <row r="20" spans="1:38" ht="15.75" thickBot="1" x14ac:dyDescent="0.3">
      <c r="A20" s="6"/>
      <c r="B20" s="6"/>
      <c r="C20" s="38" t="s">
        <v>8</v>
      </c>
      <c r="D20" s="38" t="s">
        <v>1919</v>
      </c>
      <c r="E20" s="38" t="s">
        <v>2324</v>
      </c>
      <c r="F20" s="38" t="s">
        <v>1922</v>
      </c>
      <c r="G20" s="38" t="s">
        <v>1918</v>
      </c>
      <c r="H20" s="38" t="s">
        <v>12</v>
      </c>
      <c r="I20" s="38"/>
      <c r="J20" s="6"/>
      <c r="K20" s="6"/>
      <c r="L20" s="6"/>
      <c r="M20" s="6"/>
      <c r="N20" s="6"/>
      <c r="O20" s="6"/>
      <c r="P20" s="6"/>
      <c r="Q20" s="6"/>
      <c r="S20" s="6"/>
      <c r="T20" s="6"/>
      <c r="U20" s="6"/>
      <c r="W20" s="5" t="s">
        <v>14</v>
      </c>
      <c r="AA20" t="s">
        <v>1813</v>
      </c>
      <c r="AB20" s="1" t="s">
        <v>1919</v>
      </c>
      <c r="AC20" s="1" t="s">
        <v>1</v>
      </c>
      <c r="AD20" s="1" t="s">
        <v>9</v>
      </c>
      <c r="AE20" s="1" t="s">
        <v>11</v>
      </c>
      <c r="AF20" s="1" t="s">
        <v>5</v>
      </c>
      <c r="AG20">
        <f t="shared" si="0"/>
        <v>0</v>
      </c>
      <c r="AJ20">
        <v>191</v>
      </c>
      <c r="AK20" t="e">
        <f>IFERROR(AVERAGE(INDEX(Z:Z,AJ20,1):INDEX(Z:Z,AJ20+9,1)),NA())</f>
        <v>#N/A</v>
      </c>
      <c r="AL20" s="32" t="str">
        <f t="shared" si="1"/>
        <v>-</v>
      </c>
    </row>
    <row r="21" spans="1:38" x14ac:dyDescent="0.25">
      <c r="A21" s="6"/>
      <c r="B21" s="6"/>
      <c r="C21" s="7"/>
      <c r="D21" s="7"/>
      <c r="E21" s="7"/>
      <c r="F21" s="7"/>
      <c r="G21" s="7"/>
      <c r="H21" s="7"/>
      <c r="I21" s="7"/>
      <c r="J21" s="6"/>
      <c r="K21" s="6"/>
      <c r="L21" s="6"/>
      <c r="M21" s="6"/>
      <c r="N21" s="6"/>
      <c r="O21" s="6"/>
      <c r="P21" s="6"/>
      <c r="Q21" s="6"/>
      <c r="R21" s="6"/>
      <c r="S21" s="6"/>
      <c r="T21" s="31" t="s">
        <v>2325</v>
      </c>
      <c r="U21" s="6"/>
      <c r="W21" s="5" t="s">
        <v>7</v>
      </c>
      <c r="AA21" t="s">
        <v>873</v>
      </c>
      <c r="AB21" s="1" t="s">
        <v>10</v>
      </c>
      <c r="AC21" s="1" t="s">
        <v>4</v>
      </c>
      <c r="AD21" s="1" t="s">
        <v>3</v>
      </c>
      <c r="AE21" s="1" t="s">
        <v>10</v>
      </c>
      <c r="AF21" s="1" t="s">
        <v>5</v>
      </c>
      <c r="AG21">
        <f t="shared" si="0"/>
        <v>0</v>
      </c>
      <c r="AJ21">
        <v>201</v>
      </c>
      <c r="AK21" t="e">
        <f>IFERROR(AVERAGE(INDEX(Z:Z,AJ21,1):INDEX(Z:Z,AJ21+9,1)),NA())</f>
        <v>#N/A</v>
      </c>
      <c r="AL21" s="32" t="str">
        <f t="shared" si="1"/>
        <v>-</v>
      </c>
    </row>
    <row r="22" spans="1:38" hidden="1" x14ac:dyDescent="0.25">
      <c r="A22" s="6"/>
      <c r="B22" s="6"/>
      <c r="C22" s="16">
        <f>MAX(IF($J$10=1,MAX(IF(C17=$D$10,$D$45,-9),IF(C17=$E$10,$E$45,-9),IF(C17=$F$10,$F$45,-9),IF(C17=$G$10,$G$45,-9),IF(C17=$H$10,$H$45,-9)),-10),
IF($J$11=1,MAX(IF(C17=$D$11,$D$46,-9),IF(C17=$E$11,$E$46,-9),IF(C17=$F$11,$F$46,-9),IF(C17=$G$11,$G$46,-9),IF(C17=$H$11,$H$46,-9)),-10),
IF($J$12=1,MAX(IF(C17=$D$12,$D$47,-9),IF(C17=$E$12,$E$47,-9),IF(C17=$F$12,$F$47,-9),IF(C17=$G$12,$G$47,-9),IF(C17=$H$12,$H$47,-9)),-10),
IF($J$13=1,MAX(IF(C17=$D$13,$D$48,-9),IF(C17=$E$13,$E$48,-9),IF(C17=$F$13,$F$48,-9),IF(C17=$G$13,$G$48,-9),IF(C17=$H$13,$H$48,-9)),-10),
IF($J$14=1,MAX(IF(C17=$D$14,$D$49,-9),IF(C17=$E$14,$E$49,-9),IF(C17=$F$14,$F$49,-9),IF(C17=$G$14,$G$49,-9),IF(C17=$H$14,$H$49,-9)),-10),
IF($J$15=1,MAX(IF(C17=$D$15,$D$50,-9),IF(C17=$E$15,$E$50,-9),IF(C17=$F$15,$F$50,-9),IF(C17=$G$15,$G$50,-9),IF(C17=$H$15,$H$50,-9)),-10))</f>
        <v>-10</v>
      </c>
      <c r="D22" s="16">
        <f>MAX(IF($J$10=1,MAX(IF(D17=$D$10,$D$45,-9),IF(D17=$E$10,$E$45,-9),IF(D17=$F$10,$F$45,-9),IF(D17=$G$10,$G$45,-9),IF(D17=$H$10,$H$45,-9)),-10),
IF($J$11=1,MAX(IF(D17=$D$11,$D$46,-9),IF(D17=$E$11,$E$46,-9),IF(D17=$F$11,$F$46,-9),IF(D17=$G$11,$G$46,-9),IF(D17=$H$11,$H$46,-9)),-10),
IF($J$12=1,MAX(IF(D17=$D$12,$D$47,-9),IF(D17=$E$12,$E$47,-9),IF(D17=$F$12,$F$47,-9),IF(D17=$G$12,$G$47,-9),IF(D17=$H$12,$H$47,-9)),-10),
IF($J$13=1,MAX(IF(D17=$D$13,$D$48,-9),IF(D17=$E$13,$E$48,-9),IF(D17=$F$13,$F$48,-9),IF(D17=$G$13,$G$48,-9),IF(D17=$H$13,$H$48,-9)),-10),
IF($J$14=1,MAX(IF(D17=$D$14,$D$49,-9),IF(D17=$E$14,$E$49,-9),IF(D17=$F$14,$F$49,-9),IF(D17=$G$14,$G$49,-9),IF(D17=$H$14,$H$49,-9)),-10),
IF($J$15=1,MAX(IF(D17=$D$15,$D$50,-9),IF(D17=$E$15,$E$50,-9),IF(D17=$F$15,$F$50,-9),IF(D17=$G$15,$G$50,-9),IF(D17=$H$15,$H$50,-9)),-10))</f>
        <v>-10</v>
      </c>
      <c r="E22" s="16">
        <f t="shared" ref="E22:H22" si="5">MAX(IF($J$10=1,MAX(IF(E17=$D$10,$D$45,-9),IF(E17=$E$10,$E$45,-9),IF(E17=$F$10,$F$45,-9),IF(E17=$G$10,$G$45,-9),IF(E17=$H$10,$H$45,-9)),-10),
IF($J$11=1,MAX(IF(E17=$D$11,$D$46,-9),IF(E17=$E$11,$E$46,-9),IF(E17=$F$11,$F$46,-9),IF(E17=$G$11,$G$46,-9),IF(E17=$H$11,$H$46,-9)),-10),
IF($J$12=1,MAX(IF(E17=$D$12,$D$47,-9),IF(E17=$E$12,$E$47,-9),IF(E17=$F$12,$F$47,-9),IF(E17=$G$12,$G$47,-9),IF(E17=$H$12,$H$47,-9)),-10),
IF($J$13=1,MAX(IF(E17=$D$13,$D$48,-9),IF(E17=$E$13,$E$48,-9),IF(E17=$F$13,$F$48,-9),IF(E17=$G$13,$G$48,-9),IF(E17=$H$13,$H$48,-9)),-10),
IF($J$14=1,MAX(IF(E17=$D$14,$D$49,-9),IF(E17=$E$14,$E$49,-9),IF(E17=$F$14,$F$49,-9),IF(E17=$G$14,$G$49,-9),IF(E17=$H$14,$H$49,-9)),-10),
IF($J$15=1,MAX(IF(E17=$D$15,$D$50,-9),IF(E17=$E$15,$E$50,-9),IF(E17=$F$15,$F$50,-9),IF(E17=$G$15,$G$50,-9),IF(E17=$H$15,$H$50,-9)),-10))</f>
        <v>-10</v>
      </c>
      <c r="F22" s="16">
        <f t="shared" si="5"/>
        <v>-10</v>
      </c>
      <c r="G22" s="16">
        <f t="shared" si="5"/>
        <v>-10</v>
      </c>
      <c r="H22" s="16">
        <f t="shared" si="5"/>
        <v>-10</v>
      </c>
      <c r="I22" s="16">
        <f t="shared" ref="I22" si="6">MAX(IF($J$10=1,MAX(IF(I17=$D$10,$D$45,-9),IF(I17=$E$10,$E$45,-9),IF(I17=$F$10,$F$45,-9),IF(I17=$G$10,$G$45,-9),IF(I17=$H$10,$H$45,-9)),-10),
IF($J$11=1,MAX(IF(I17=$D$11,$D$46,-9),IF(I17=$E$11,$E$46,-9),IF(I17=$F$11,$F$46,-9),IF(I17=$G$11,$G$46,-9),IF(I17=$H$11,$H$46,-9)),-10),
IF($J$12=1,MAX(IF(I17=$D$12,$D$47,-9),IF(I17=$E$12,$E$47,-9),IF(I17=$F$12,$F$47,-9),IF(I17=$G$12,$G$47,-9),IF(I17=$H$12,$H$47,-9)),-10),
IF($J$13=1,MAX(IF(I17=$D$13,$D$48,-9),IF(I17=$E$13,$E$48,-9),IF(I17=$F$13,$F$48,-9),IF(I17=$G$13,$G$48,-9),IF(I17=$H$13,$H$48,-9)),-10),
IF($J$14=1,MAX(IF(I17=$D$14,$D$49,-9),IF(I17=$E$14,$E$49,-9),IF(I17=$F$14,$F$49,-9),IF(I17=$G$14,$G$49,-9),IF(I17=$H$14,$H$49,-9)),-10),
IF($J$15=1,MAX(IF(I17=$D$15,$D$50,-9),IF(I17=$E$15,$E$50,-9),IF(I17=$F$15,$F$50,-9),IF(I17=$G$15,$G$50,-9),IF(I17=$H$15,$H$50,-9)),-10))</f>
        <v>-10</v>
      </c>
      <c r="J22" s="15" t="s">
        <v>1938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W22" s="5" t="s">
        <v>13</v>
      </c>
      <c r="AA22" t="s">
        <v>1780</v>
      </c>
      <c r="AB22" s="1" t="s">
        <v>4</v>
      </c>
      <c r="AC22" s="1" t="s">
        <v>8</v>
      </c>
      <c r="AD22" s="1" t="s">
        <v>13</v>
      </c>
      <c r="AE22" s="1" t="s">
        <v>1914</v>
      </c>
      <c r="AF22" s="1" t="s">
        <v>5</v>
      </c>
      <c r="AG22">
        <f t="shared" si="0"/>
        <v>0</v>
      </c>
      <c r="AJ22">
        <v>211</v>
      </c>
      <c r="AK22" t="e">
        <f>IFERROR(AVERAGE(INDEX(Z:Z,AJ22,1):INDEX(Z:Z,AJ22+9,1)),NA())</f>
        <v>#N/A</v>
      </c>
      <c r="AL22" s="32" t="str">
        <f t="shared" si="1"/>
        <v>-</v>
      </c>
    </row>
    <row r="23" spans="1:38" hidden="1" x14ac:dyDescent="0.25">
      <c r="A23" s="6"/>
      <c r="B23" s="6"/>
      <c r="C23" s="16">
        <f t="shared" ref="C23:C25" si="7">MAX(IF($J$10=1,MAX(IF(C18=$D$10,$D$45,-9),IF(C18=$E$10,$E$45,-9),IF(C18=$F$10,$F$45,-9),IF(C18=$G$10,$G$45,-9),IF(C18=$H$10,$H$45,-9)),-10),
IF($J$11=1,MAX(IF(C18=$D$11,$D$46,-9),IF(C18=$E$11,$E$46,-9),IF(C18=$F$11,$F$46,-9),IF(C18=$G$11,$G$46,-9),IF(C18=$H$11,$H$46,-9)),-10),
IF($J$12=1,MAX(IF(C18=$D$12,$D$47,-9),IF(C18=$E$12,$E$47,-9),IF(C18=$F$12,$F$47,-9),IF(C18=$G$12,$G$47,-9),IF(C18=$H$12,$H$47,-9)),-10),
IF($J$13=1,MAX(IF(C18=$D$13,$D$48,-9),IF(C18=$E$13,$E$48,-9),IF(C18=$F$13,$F$48,-9),IF(C18=$G$13,$G$48,-9),IF(C18=$H$13,$H$48,-9)),-10),
IF($J$14=1,MAX(IF(C18=$D$14,$D$49,-9),IF(C18=$E$14,$E$49,-9),IF(C18=$F$14,$F$49,-9),IF(C18=$G$14,$G$49,-9),IF(C18=$H$14,$H$49,-9)),-10),
IF($J$15=1,MAX(IF(C18=$D$15,$D$50,-9),IF(C18=$E$15,$E$50,-9),IF(C18=$F$15,$F$50,-9),IF(C18=$G$15,$G$50,-9),IF(C18=$H$15,$H$50,-9)),-10))</f>
        <v>-10</v>
      </c>
      <c r="D23" s="16">
        <f t="shared" ref="D23:H23" si="8">MAX(IF($J$10=1,MAX(IF(D18=$D$10,$D$45,-9),IF(D18=$E$10,$E$45,-9),IF(D18=$F$10,$F$45,-9),IF(D18=$G$10,$G$45,-9),IF(D18=$H$10,$H$45,-9)),-10),
IF($J$11=1,MAX(IF(D18=$D$11,$D$46,-9),IF(D18=$E$11,$E$46,-9),IF(D18=$F$11,$F$46,-9),IF(D18=$G$11,$G$46,-9),IF(D18=$H$11,$H$46,-9)),-10),
IF($J$12=1,MAX(IF(D18=$D$12,$D$47,-9),IF(D18=$E$12,$E$47,-9),IF(D18=$F$12,$F$47,-9),IF(D18=$G$12,$G$47,-9),IF(D18=$H$12,$H$47,-9)),-10),
IF($J$13=1,MAX(IF(D18=$D$13,$D$48,-9),IF(D18=$E$13,$E$48,-9),IF(D18=$F$13,$F$48,-9),IF(D18=$G$13,$G$48,-9),IF(D18=$H$13,$H$48,-9)),-10),
IF($J$14=1,MAX(IF(D18=$D$14,$D$49,-9),IF(D18=$E$14,$E$49,-9),IF(D18=$F$14,$F$49,-9),IF(D18=$G$14,$G$49,-9),IF(D18=$H$14,$H$49,-9)),-10),
IF($J$15=1,MAX(IF(D18=$D$15,$D$50,-9),IF(D18=$E$15,$E$50,-9),IF(D18=$F$15,$F$50,-9),IF(D18=$G$15,$G$50,-9),IF(D18=$H$15,$H$50,-9)),-10))</f>
        <v>-10</v>
      </c>
      <c r="E23" s="16">
        <f t="shared" si="8"/>
        <v>-10</v>
      </c>
      <c r="F23" s="16">
        <f t="shared" si="8"/>
        <v>-10</v>
      </c>
      <c r="G23" s="16">
        <f t="shared" si="8"/>
        <v>-10</v>
      </c>
      <c r="H23" s="16">
        <f t="shared" si="8"/>
        <v>-10</v>
      </c>
      <c r="I23" s="16">
        <f t="shared" ref="I23" si="9">MAX(IF($J$10=1,MAX(IF(I18=$D$10,$D$45,-9),IF(I18=$E$10,$E$45,-9),IF(I18=$F$10,$F$45,-9),IF(I18=$G$10,$G$45,-9),IF(I18=$H$10,$H$45,-9)),-10),
IF($J$11=1,MAX(IF(I18=$D$11,$D$46,-9),IF(I18=$E$11,$E$46,-9),IF(I18=$F$11,$F$46,-9),IF(I18=$G$11,$G$46,-9),IF(I18=$H$11,$H$46,-9)),-10),
IF($J$12=1,MAX(IF(I18=$D$12,$D$47,-9),IF(I18=$E$12,$E$47,-9),IF(I18=$F$12,$F$47,-9),IF(I18=$G$12,$G$47,-9),IF(I18=$H$12,$H$47,-9)),-10),
IF($J$13=1,MAX(IF(I18=$D$13,$D$48,-9),IF(I18=$E$13,$E$48,-9),IF(I18=$F$13,$F$48,-9),IF(I18=$G$13,$G$48,-9),IF(I18=$H$13,$H$48,-9)),-10),
IF($J$14=1,MAX(IF(I18=$D$14,$D$49,-9),IF(I18=$E$14,$E$49,-9),IF(I18=$F$14,$F$49,-9),IF(I18=$G$14,$G$49,-9),IF(I18=$H$14,$H$49,-9)),-10),
IF($J$15=1,MAX(IF(I18=$D$15,$D$50,-9),IF(I18=$E$15,$E$50,-9),IF(I18=$F$15,$F$50,-9),IF(I18=$G$15,$G$50,-9),IF(I18=$H$15,$H$50,-9)),-10))</f>
        <v>-10</v>
      </c>
      <c r="J23" s="7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W23" s="5" t="s">
        <v>6</v>
      </c>
      <c r="AA23" t="s">
        <v>1197</v>
      </c>
      <c r="AB23" s="1" t="s">
        <v>5</v>
      </c>
      <c r="AC23" s="1" t="s">
        <v>1914</v>
      </c>
      <c r="AD23" s="1" t="s">
        <v>11</v>
      </c>
      <c r="AE23" s="1" t="s">
        <v>2</v>
      </c>
      <c r="AF23" s="1" t="s">
        <v>1</v>
      </c>
      <c r="AG23">
        <f t="shared" si="0"/>
        <v>0</v>
      </c>
      <c r="AJ23">
        <v>221</v>
      </c>
      <c r="AK23" t="e">
        <f>IFERROR(AVERAGE(INDEX(Z:Z,AJ23,1):INDEX(Z:Z,AJ23+9,1)),NA())</f>
        <v>#N/A</v>
      </c>
      <c r="AL23" s="32" t="str">
        <f t="shared" si="1"/>
        <v>-</v>
      </c>
    </row>
    <row r="24" spans="1:38" hidden="1" x14ac:dyDescent="0.25">
      <c r="A24" s="6"/>
      <c r="B24" s="6"/>
      <c r="C24" s="16">
        <f t="shared" si="7"/>
        <v>-10</v>
      </c>
      <c r="D24" s="16">
        <f t="shared" ref="D24:H24" si="10">MAX(IF($J$10=1,MAX(IF(D19=$D$10,$D$45,-9),IF(D19=$E$10,$E$45,-9),IF(D19=$F$10,$F$45,-9),IF(D19=$G$10,$G$45,-9),IF(D19=$H$10,$H$45,-9)),-10),
IF($J$11=1,MAX(IF(D19=$D$11,$D$46,-9),IF(D19=$E$11,$E$46,-9),IF(D19=$F$11,$F$46,-9),IF(D19=$G$11,$G$46,-9),IF(D19=$H$11,$H$46,-9)),-10),
IF($J$12=1,MAX(IF(D19=$D$12,$D$47,-9),IF(D19=$E$12,$E$47,-9),IF(D19=$F$12,$F$47,-9),IF(D19=$G$12,$G$47,-9),IF(D19=$H$12,$H$47,-9)),-10),
IF($J$13=1,MAX(IF(D19=$D$13,$D$48,-9),IF(D19=$E$13,$E$48,-9),IF(D19=$F$13,$F$48,-9),IF(D19=$G$13,$G$48,-9),IF(D19=$H$13,$H$48,-9)),-10),
IF($J$14=1,MAX(IF(D19=$D$14,$D$49,-9),IF(D19=$E$14,$E$49,-9),IF(D19=$F$14,$F$49,-9),IF(D19=$G$14,$G$49,-9),IF(D19=$H$14,$H$49,-9)),-10),
IF($J$15=1,MAX(IF(D19=$D$15,$D$50,-9),IF(D19=$E$15,$E$50,-9),IF(D19=$F$15,$F$50,-9),IF(D19=$G$15,$G$50,-9),IF(D19=$H$15,$H$50,-9)),-10))</f>
        <v>-10</v>
      </c>
      <c r="E24" s="16">
        <f t="shared" si="10"/>
        <v>-10</v>
      </c>
      <c r="F24" s="16">
        <f t="shared" si="10"/>
        <v>-10</v>
      </c>
      <c r="G24" s="16">
        <f t="shared" si="10"/>
        <v>-10</v>
      </c>
      <c r="H24" s="16">
        <f t="shared" si="10"/>
        <v>-10</v>
      </c>
      <c r="I24" s="16">
        <f t="shared" ref="I24" si="11">MAX(IF($J$10=1,MAX(IF(I19=$D$10,$D$45,-9),IF(I19=$E$10,$E$45,-9),IF(I19=$F$10,$F$45,-9),IF(I19=$G$10,$G$45,-9),IF(I19=$H$10,$H$45,-9)),-10),
IF($J$11=1,MAX(IF(I19=$D$11,$D$46,-9),IF(I19=$E$11,$E$46,-9),IF(I19=$F$11,$F$46,-9),IF(I19=$G$11,$G$46,-9),IF(I19=$H$11,$H$46,-9)),-10),
IF($J$12=1,MAX(IF(I19=$D$12,$D$47,-9),IF(I19=$E$12,$E$47,-9),IF(I19=$F$12,$F$47,-9),IF(I19=$G$12,$G$47,-9),IF(I19=$H$12,$H$47,-9)),-10),
IF($J$13=1,MAX(IF(I19=$D$13,$D$48,-9),IF(I19=$E$13,$E$48,-9),IF(I19=$F$13,$F$48,-9),IF(I19=$G$13,$G$48,-9),IF(I19=$H$13,$H$48,-9)),-10),
IF($J$14=1,MAX(IF(I19=$D$14,$D$49,-9),IF(I19=$E$14,$E$49,-9),IF(I19=$F$14,$F$49,-9),IF(I19=$G$14,$G$49,-9),IF(I19=$H$14,$H$49,-9)),-10),
IF($J$15=1,MAX(IF(I19=$D$15,$D$50,-9),IF(I19=$E$15,$E$50,-9),IF(I19=$F$15,$F$50,-9),IF(I19=$G$15,$G$50,-9),IF(I19=$H$15,$H$50,-9)),-10))</f>
        <v>-10</v>
      </c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W24" s="5" t="s">
        <v>1916</v>
      </c>
      <c r="AA24" t="s">
        <v>446</v>
      </c>
      <c r="AB24" s="1" t="s">
        <v>0</v>
      </c>
      <c r="AC24" s="1" t="s">
        <v>5</v>
      </c>
      <c r="AD24" s="1" t="s">
        <v>13</v>
      </c>
      <c r="AE24" s="1" t="s">
        <v>11</v>
      </c>
      <c r="AF24" s="1" t="s">
        <v>3</v>
      </c>
      <c r="AG24">
        <f t="shared" si="0"/>
        <v>0</v>
      </c>
      <c r="AJ24">
        <v>231</v>
      </c>
      <c r="AK24" t="e">
        <f>IFERROR(AVERAGE(INDEX(Z:Z,AJ24,1):INDEX(Z:Z,AJ24+9,1)),NA())</f>
        <v>#N/A</v>
      </c>
      <c r="AL24" s="32" t="str">
        <f t="shared" si="1"/>
        <v>-</v>
      </c>
    </row>
    <row r="25" spans="1:38" hidden="1" x14ac:dyDescent="0.25">
      <c r="A25" s="6"/>
      <c r="B25" s="6"/>
      <c r="C25" s="16">
        <f t="shared" si="7"/>
        <v>-10</v>
      </c>
      <c r="D25" s="16">
        <f t="shared" ref="D25:H25" si="12">MAX(IF($J$10=1,MAX(IF(D20=$D$10,$D$45,-9),IF(D20=$E$10,$E$45,-9),IF(D20=$F$10,$F$45,-9),IF(D20=$G$10,$G$45,-9),IF(D20=$H$10,$H$45,-9)),-10),
IF($J$11=1,MAX(IF(D20=$D$11,$D$46,-9),IF(D20=$E$11,$E$46,-9),IF(D20=$F$11,$F$46,-9),IF(D20=$G$11,$G$46,-9),IF(D20=$H$11,$H$46,-9)),-10),
IF($J$12=1,MAX(IF(D20=$D$12,$D$47,-9),IF(D20=$E$12,$E$47,-9),IF(D20=$F$12,$F$47,-9),IF(D20=$G$12,$G$47,-9),IF(D20=$H$12,$H$47,-9)),-10),
IF($J$13=1,MAX(IF(D20=$D$13,$D$48,-9),IF(D20=$E$13,$E$48,-9),IF(D20=$F$13,$F$48,-9),IF(D20=$G$13,$G$48,-9),IF(D20=$H$13,$H$48,-9)),-10),
IF($J$14=1,MAX(IF(D20=$D$14,$D$49,-9),IF(D20=$E$14,$E$49,-9),IF(D20=$F$14,$F$49,-9),IF(D20=$G$14,$G$49,-9),IF(D20=$H$14,$H$49,-9)),-10),
IF($J$15=1,MAX(IF(D20=$D$15,$D$50,-9),IF(D20=$E$15,$E$50,-9),IF(D20=$F$15,$F$50,-9),IF(D20=$G$15,$G$50,-9),IF(D20=$H$15,$H$50,-9)),-10))</f>
        <v>-10</v>
      </c>
      <c r="E25" s="16">
        <f t="shared" si="12"/>
        <v>-10</v>
      </c>
      <c r="F25" s="16">
        <f t="shared" si="12"/>
        <v>-10</v>
      </c>
      <c r="G25" s="16">
        <f t="shared" si="12"/>
        <v>-10</v>
      </c>
      <c r="H25" s="16">
        <f t="shared" si="12"/>
        <v>-10</v>
      </c>
      <c r="I25" s="1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W25" s="5" t="s">
        <v>5</v>
      </c>
      <c r="AA25" t="s">
        <v>2103</v>
      </c>
      <c r="AB25" s="1" t="s">
        <v>1914</v>
      </c>
      <c r="AC25" s="1" t="s">
        <v>1</v>
      </c>
      <c r="AD25" s="1" t="s">
        <v>1917</v>
      </c>
      <c r="AE25" s="1" t="s">
        <v>10</v>
      </c>
      <c r="AF25" s="1" t="s">
        <v>1</v>
      </c>
      <c r="AG25">
        <f t="shared" si="0"/>
        <v>0</v>
      </c>
      <c r="AJ25">
        <v>241</v>
      </c>
      <c r="AK25" t="e">
        <f>IFERROR(AVERAGE(INDEX(Z:Z,AJ25,1):INDEX(Z:Z,AJ25+9,1)),NA())</f>
        <v>#N/A</v>
      </c>
      <c r="AL25" s="32" t="str">
        <f t="shared" si="1"/>
        <v>-</v>
      </c>
    </row>
    <row r="26" spans="1:38" hidden="1" x14ac:dyDescent="0.25">
      <c r="A26" s="6"/>
      <c r="B26" s="6"/>
      <c r="C26" s="6"/>
      <c r="D26" s="16"/>
      <c r="E26" s="16"/>
      <c r="F26" s="16"/>
      <c r="G26" s="16"/>
      <c r="H26" s="1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W26" s="5" t="s">
        <v>9</v>
      </c>
      <c r="AA26" t="s">
        <v>1620</v>
      </c>
      <c r="AB26" s="1" t="s">
        <v>2</v>
      </c>
      <c r="AC26" s="1" t="s">
        <v>5</v>
      </c>
      <c r="AD26" s="1" t="s">
        <v>3</v>
      </c>
      <c r="AE26" s="1" t="s">
        <v>1914</v>
      </c>
      <c r="AF26" s="1" t="s">
        <v>5</v>
      </c>
      <c r="AG26">
        <f t="shared" si="0"/>
        <v>0</v>
      </c>
      <c r="AJ26">
        <v>251</v>
      </c>
      <c r="AK26" t="e">
        <f>IFERROR(AVERAGE(INDEX(Z:Z,AJ26,1):INDEX(Z:Z,AJ26+9,1)),NA())</f>
        <v>#N/A</v>
      </c>
      <c r="AL26" s="32" t="str">
        <f t="shared" si="1"/>
        <v>-</v>
      </c>
    </row>
    <row r="27" spans="1:38" hidden="1" x14ac:dyDescent="0.25">
      <c r="A27" s="6"/>
      <c r="B27" s="6"/>
      <c r="C27" s="6"/>
      <c r="D27" s="17">
        <f t="shared" ref="D27:H32" si="13">IF(D$2=D10,1,0)</f>
        <v>0</v>
      </c>
      <c r="E27" s="18">
        <f t="shared" si="13"/>
        <v>0</v>
      </c>
      <c r="F27" s="18">
        <f t="shared" si="13"/>
        <v>0</v>
      </c>
      <c r="G27" s="18">
        <f t="shared" si="13"/>
        <v>0</v>
      </c>
      <c r="H27" s="19">
        <f t="shared" si="13"/>
        <v>0</v>
      </c>
      <c r="J27" s="6" t="s">
        <v>1924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W27" s="5" t="s">
        <v>1923</v>
      </c>
      <c r="AA27" t="s">
        <v>1983</v>
      </c>
      <c r="AB27" s="1" t="s">
        <v>1</v>
      </c>
      <c r="AC27" s="1" t="s">
        <v>4</v>
      </c>
      <c r="AD27" s="1" t="s">
        <v>5</v>
      </c>
      <c r="AE27" s="1" t="s">
        <v>13</v>
      </c>
      <c r="AF27" s="1" t="s">
        <v>5</v>
      </c>
      <c r="AG27">
        <f t="shared" si="0"/>
        <v>0</v>
      </c>
      <c r="AJ27">
        <v>261</v>
      </c>
      <c r="AK27" t="e">
        <f>IFERROR(AVERAGE(INDEX(Z:Z,AJ27,1):INDEX(Z:Z,AJ27+9,1)),NA())</f>
        <v>#N/A</v>
      </c>
      <c r="AL27" s="32" t="str">
        <f t="shared" si="1"/>
        <v>-</v>
      </c>
    </row>
    <row r="28" spans="1:38" hidden="1" x14ac:dyDescent="0.25">
      <c r="A28" s="6"/>
      <c r="B28" s="6"/>
      <c r="C28" s="6"/>
      <c r="D28" s="20">
        <f t="shared" si="13"/>
        <v>0</v>
      </c>
      <c r="E28" s="21">
        <f t="shared" si="13"/>
        <v>0</v>
      </c>
      <c r="F28" s="21">
        <f t="shared" si="13"/>
        <v>0</v>
      </c>
      <c r="G28" s="21">
        <f t="shared" si="13"/>
        <v>0</v>
      </c>
      <c r="H28" s="22">
        <f t="shared" si="13"/>
        <v>0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W28" s="5" t="s">
        <v>3</v>
      </c>
      <c r="AA28" t="s">
        <v>964</v>
      </c>
      <c r="AB28" s="1" t="s">
        <v>7</v>
      </c>
      <c r="AC28" s="1" t="s">
        <v>10</v>
      </c>
      <c r="AD28" s="1" t="s">
        <v>6</v>
      </c>
      <c r="AE28" s="1" t="s">
        <v>0</v>
      </c>
      <c r="AF28" s="1" t="s">
        <v>11</v>
      </c>
      <c r="AG28">
        <f t="shared" si="0"/>
        <v>0</v>
      </c>
      <c r="AJ28">
        <v>271</v>
      </c>
      <c r="AK28" t="e">
        <f>IFERROR(AVERAGE(INDEX(Z:Z,AJ28,1):INDEX(Z:Z,AJ28+9,1)),NA())</f>
        <v>#N/A</v>
      </c>
      <c r="AL28" s="32" t="str">
        <f t="shared" si="1"/>
        <v>-</v>
      </c>
    </row>
    <row r="29" spans="1:38" hidden="1" x14ac:dyDescent="0.25">
      <c r="A29" s="6"/>
      <c r="B29" s="6"/>
      <c r="C29" s="6"/>
      <c r="D29" s="20">
        <f t="shared" si="13"/>
        <v>0</v>
      </c>
      <c r="E29" s="21">
        <f t="shared" si="13"/>
        <v>0</v>
      </c>
      <c r="F29" s="21">
        <f t="shared" si="13"/>
        <v>0</v>
      </c>
      <c r="G29" s="21">
        <f t="shared" si="13"/>
        <v>0</v>
      </c>
      <c r="H29" s="22">
        <f t="shared" si="13"/>
        <v>0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W29" s="5" t="s">
        <v>2</v>
      </c>
      <c r="AA29" t="s">
        <v>1767</v>
      </c>
      <c r="AB29" s="1" t="s">
        <v>4</v>
      </c>
      <c r="AC29" s="1" t="s">
        <v>3</v>
      </c>
      <c r="AD29" s="1" t="s">
        <v>10</v>
      </c>
      <c r="AE29" s="1" t="s">
        <v>9</v>
      </c>
      <c r="AF29" s="1" t="s">
        <v>1</v>
      </c>
      <c r="AG29">
        <f t="shared" si="0"/>
        <v>0</v>
      </c>
      <c r="AJ29">
        <v>281</v>
      </c>
      <c r="AK29" t="e">
        <f>IFERROR(AVERAGE(INDEX(Z:Z,AJ29,1):INDEX(Z:Z,AJ29+9,1)),NA())</f>
        <v>#N/A</v>
      </c>
      <c r="AL29" s="32" t="str">
        <f t="shared" si="1"/>
        <v>-</v>
      </c>
    </row>
    <row r="30" spans="1:38" hidden="1" x14ac:dyDescent="0.25">
      <c r="A30" s="6"/>
      <c r="B30" s="6"/>
      <c r="C30" s="6"/>
      <c r="D30" s="20">
        <f t="shared" si="13"/>
        <v>0</v>
      </c>
      <c r="E30" s="21">
        <f t="shared" si="13"/>
        <v>0</v>
      </c>
      <c r="F30" s="21">
        <f t="shared" si="13"/>
        <v>0</v>
      </c>
      <c r="G30" s="21">
        <f t="shared" si="13"/>
        <v>0</v>
      </c>
      <c r="H30" s="22">
        <f t="shared" si="13"/>
        <v>0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W30" s="5" t="s">
        <v>4</v>
      </c>
      <c r="AA30" t="s">
        <v>163</v>
      </c>
      <c r="AB30" s="1" t="s">
        <v>1914</v>
      </c>
      <c r="AC30" s="1" t="s">
        <v>1</v>
      </c>
      <c r="AD30" s="1" t="s">
        <v>7</v>
      </c>
      <c r="AE30" s="1" t="s">
        <v>1</v>
      </c>
      <c r="AF30" s="1" t="s">
        <v>3</v>
      </c>
      <c r="AG30">
        <f t="shared" si="0"/>
        <v>0</v>
      </c>
      <c r="AJ30">
        <v>291</v>
      </c>
      <c r="AK30" t="e">
        <f>IFERROR(AVERAGE(INDEX(Z:Z,AJ30,1):INDEX(Z:Z,AJ30+9,1)),NA())</f>
        <v>#N/A</v>
      </c>
      <c r="AL30" s="32" t="str">
        <f t="shared" si="1"/>
        <v>-</v>
      </c>
    </row>
    <row r="31" spans="1:38" hidden="1" x14ac:dyDescent="0.25">
      <c r="A31" s="6"/>
      <c r="B31" s="6"/>
      <c r="C31" s="6"/>
      <c r="D31" s="20">
        <f t="shared" si="13"/>
        <v>0</v>
      </c>
      <c r="E31" s="21">
        <f t="shared" si="13"/>
        <v>0</v>
      </c>
      <c r="F31" s="21">
        <f t="shared" si="13"/>
        <v>0</v>
      </c>
      <c r="G31" s="21">
        <f t="shared" si="13"/>
        <v>0</v>
      </c>
      <c r="H31" s="22">
        <f t="shared" si="13"/>
        <v>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W31" s="5" t="s">
        <v>8</v>
      </c>
      <c r="AA31" t="s">
        <v>1255</v>
      </c>
      <c r="AB31" s="1" t="s">
        <v>9</v>
      </c>
      <c r="AC31" s="1" t="s">
        <v>1</v>
      </c>
      <c r="AD31" s="1" t="s">
        <v>7</v>
      </c>
      <c r="AE31" s="1" t="s">
        <v>13</v>
      </c>
      <c r="AF31" s="1" t="s">
        <v>5</v>
      </c>
      <c r="AG31">
        <f t="shared" si="0"/>
        <v>0</v>
      </c>
      <c r="AJ31">
        <v>301</v>
      </c>
      <c r="AK31" t="e">
        <f>IFERROR(AVERAGE(INDEX(Z:Z,AJ31,1):INDEX(Z:Z,AJ31+9,1)),NA())</f>
        <v>#N/A</v>
      </c>
      <c r="AL31" s="32" t="str">
        <f t="shared" si="1"/>
        <v>-</v>
      </c>
    </row>
    <row r="32" spans="1:38" hidden="1" x14ac:dyDescent="0.25">
      <c r="A32" s="6"/>
      <c r="B32" s="6"/>
      <c r="C32" s="6"/>
      <c r="D32" s="23">
        <f t="shared" si="13"/>
        <v>0</v>
      </c>
      <c r="E32" s="24">
        <f t="shared" si="13"/>
        <v>0</v>
      </c>
      <c r="F32" s="24">
        <f t="shared" si="13"/>
        <v>0</v>
      </c>
      <c r="G32" s="24">
        <f t="shared" si="13"/>
        <v>0</v>
      </c>
      <c r="H32" s="25">
        <f t="shared" si="13"/>
        <v>0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W32" s="5" t="s">
        <v>1919</v>
      </c>
      <c r="AA32" t="s">
        <v>2061</v>
      </c>
      <c r="AB32" s="1" t="s">
        <v>13</v>
      </c>
      <c r="AC32" s="1" t="s">
        <v>10</v>
      </c>
      <c r="AD32" s="1" t="s">
        <v>6</v>
      </c>
      <c r="AE32" s="1" t="s">
        <v>8</v>
      </c>
      <c r="AF32" s="1" t="s">
        <v>11</v>
      </c>
      <c r="AG32">
        <f t="shared" si="0"/>
        <v>0</v>
      </c>
      <c r="AJ32">
        <v>311</v>
      </c>
      <c r="AK32" t="e">
        <f>IFERROR(AVERAGE(INDEX(Z:Z,AJ32,1):INDEX(Z:Z,AJ32+9,1)),NA())</f>
        <v>#N/A</v>
      </c>
      <c r="AL32" s="32" t="str">
        <f t="shared" si="1"/>
        <v>-</v>
      </c>
    </row>
    <row r="33" spans="1:38" hidden="1" x14ac:dyDescent="0.25">
      <c r="A33" s="6"/>
      <c r="B33" s="6"/>
      <c r="C33" s="6"/>
      <c r="D33" s="17">
        <f t="shared" ref="D33:D38" si="14">D27+IF(D10=E10,1,0)*E27+IF(D10=F10,1,0)*F27+IF(D10=G10,1,0)*G27+IF(D10=H10,1,0)*H27</f>
        <v>0</v>
      </c>
      <c r="E33" s="18">
        <f t="shared" ref="E33:E38" si="15">E27+IF(E10=F10,1,0)*F27+IF(E10=G10,1,0)*G27+IF(E10=H10,1,0)*H27+IF(E10=D10,1,0)*D27</f>
        <v>0</v>
      </c>
      <c r="F33" s="18">
        <f t="shared" ref="F33:F38" si="16">F27+IF(F10=G10,1,0)*G27+IF(F10=H10,1,0)*H27+IF(F10=D10,1,0)*D27+IF(F10=E10,1,0)*E27</f>
        <v>0</v>
      </c>
      <c r="G33" s="18">
        <f t="shared" ref="G33:G38" si="17">G27+IF(G10=H10,1,0)*H27+IF(G10=D10,1,0)*D27+IF(G10=E10,1,0)*E27+IF(G10=F10,1,0)*F27</f>
        <v>0</v>
      </c>
      <c r="H33" s="19">
        <f t="shared" ref="H33:H38" si="18">H27+IF(H10=D10,1,0)*D27+IF(H10=E10,1,0)*E27+IF(H10=F10,1,0)*F27+IF(H10=G10,1,0)*G27</f>
        <v>0</v>
      </c>
      <c r="J33" s="6" t="s">
        <v>1929</v>
      </c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W33" s="5" t="s">
        <v>1922</v>
      </c>
      <c r="AA33" t="s">
        <v>601</v>
      </c>
      <c r="AB33" s="1" t="s">
        <v>11</v>
      </c>
      <c r="AC33" s="1" t="s">
        <v>4</v>
      </c>
      <c r="AD33" s="1" t="s">
        <v>6</v>
      </c>
      <c r="AE33" s="1" t="s">
        <v>10</v>
      </c>
      <c r="AF33" s="1" t="s">
        <v>1</v>
      </c>
      <c r="AG33">
        <f t="shared" si="0"/>
        <v>0</v>
      </c>
      <c r="AJ33">
        <v>321</v>
      </c>
      <c r="AK33" t="e">
        <f>IFERROR(AVERAGE(INDEX(Z:Z,AJ33,1):INDEX(Z:Z,AJ33+9,1)),NA())</f>
        <v>#N/A</v>
      </c>
      <c r="AL33" s="32" t="str">
        <f t="shared" si="1"/>
        <v>-</v>
      </c>
    </row>
    <row r="34" spans="1:38" hidden="1" x14ac:dyDescent="0.25">
      <c r="A34" s="6"/>
      <c r="B34" s="6"/>
      <c r="C34" s="6"/>
      <c r="D34" s="20">
        <f t="shared" si="14"/>
        <v>0</v>
      </c>
      <c r="E34" s="21">
        <f t="shared" si="15"/>
        <v>0</v>
      </c>
      <c r="F34" s="21">
        <f t="shared" si="16"/>
        <v>0</v>
      </c>
      <c r="G34" s="21">
        <f t="shared" si="17"/>
        <v>0</v>
      </c>
      <c r="H34" s="22">
        <f t="shared" si="18"/>
        <v>0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W34" s="5" t="s">
        <v>1918</v>
      </c>
      <c r="AA34" t="s">
        <v>308</v>
      </c>
      <c r="AB34" s="1" t="s">
        <v>0</v>
      </c>
      <c r="AC34" s="1" t="s">
        <v>1</v>
      </c>
      <c r="AD34" s="1" t="s">
        <v>13</v>
      </c>
      <c r="AE34" s="1" t="s">
        <v>11</v>
      </c>
      <c r="AF34" s="1" t="s">
        <v>5</v>
      </c>
      <c r="AG34">
        <f t="shared" si="0"/>
        <v>0</v>
      </c>
      <c r="AJ34">
        <v>331</v>
      </c>
      <c r="AK34" t="e">
        <f>IFERROR(AVERAGE(INDEX(Z:Z,AJ34,1):INDEX(Z:Z,AJ34+9,1)),NA())</f>
        <v>#N/A</v>
      </c>
      <c r="AL34" s="32" t="str">
        <f t="shared" si="1"/>
        <v>-</v>
      </c>
    </row>
    <row r="35" spans="1:38" hidden="1" x14ac:dyDescent="0.25">
      <c r="A35" s="6"/>
      <c r="B35" s="6"/>
      <c r="C35" s="6"/>
      <c r="D35" s="20">
        <f t="shared" si="14"/>
        <v>0</v>
      </c>
      <c r="E35" s="21">
        <f t="shared" si="15"/>
        <v>0</v>
      </c>
      <c r="F35" s="21">
        <f t="shared" si="16"/>
        <v>0</v>
      </c>
      <c r="G35" s="21">
        <f t="shared" si="17"/>
        <v>0</v>
      </c>
      <c r="H35" s="22">
        <f t="shared" si="18"/>
        <v>0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W35" s="5" t="s">
        <v>12</v>
      </c>
      <c r="AA35" t="s">
        <v>2210</v>
      </c>
      <c r="AB35" s="1" t="s">
        <v>13</v>
      </c>
      <c r="AC35" s="1" t="s">
        <v>11</v>
      </c>
      <c r="AD35" s="1" t="s">
        <v>2</v>
      </c>
      <c r="AE35" s="1" t="s">
        <v>5</v>
      </c>
      <c r="AF35" s="1" t="s">
        <v>6</v>
      </c>
      <c r="AG35">
        <f t="shared" si="0"/>
        <v>0</v>
      </c>
      <c r="AJ35">
        <v>341</v>
      </c>
      <c r="AK35" t="e">
        <f>IFERROR(AVERAGE(INDEX(Z:Z,AJ35,1):INDEX(Z:Z,AJ35+9,1)),NA())</f>
        <v>#N/A</v>
      </c>
      <c r="AL35" s="32" t="str">
        <f t="shared" si="1"/>
        <v>-</v>
      </c>
    </row>
    <row r="36" spans="1:38" hidden="1" x14ac:dyDescent="0.25">
      <c r="A36" s="6"/>
      <c r="B36" s="6"/>
      <c r="C36" s="6"/>
      <c r="D36" s="20">
        <f t="shared" si="14"/>
        <v>0</v>
      </c>
      <c r="E36" s="21">
        <f t="shared" si="15"/>
        <v>0</v>
      </c>
      <c r="F36" s="21">
        <f t="shared" si="16"/>
        <v>0</v>
      </c>
      <c r="G36" s="21">
        <f t="shared" si="17"/>
        <v>0</v>
      </c>
      <c r="H36" s="22">
        <f t="shared" si="18"/>
        <v>0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AA36" t="s">
        <v>937</v>
      </c>
      <c r="AB36" s="1" t="s">
        <v>7</v>
      </c>
      <c r="AC36" s="1" t="s">
        <v>11</v>
      </c>
      <c r="AD36" s="1" t="s">
        <v>1921</v>
      </c>
      <c r="AE36" s="1" t="s">
        <v>1</v>
      </c>
      <c r="AF36" s="1" t="s">
        <v>3</v>
      </c>
      <c r="AG36">
        <f t="shared" si="0"/>
        <v>0</v>
      </c>
      <c r="AJ36">
        <v>351</v>
      </c>
      <c r="AK36" t="e">
        <f>IFERROR(AVERAGE(INDEX(Z:Z,AJ36,1):INDEX(Z:Z,AJ36+9,1)),NA())</f>
        <v>#N/A</v>
      </c>
      <c r="AL36" s="32" t="str">
        <f t="shared" si="1"/>
        <v>-</v>
      </c>
    </row>
    <row r="37" spans="1:38" hidden="1" x14ac:dyDescent="0.25">
      <c r="A37" s="6"/>
      <c r="B37" s="6"/>
      <c r="C37" s="6"/>
      <c r="D37" s="20">
        <f t="shared" si="14"/>
        <v>0</v>
      </c>
      <c r="E37" s="21">
        <f t="shared" si="15"/>
        <v>0</v>
      </c>
      <c r="F37" s="21">
        <f t="shared" si="16"/>
        <v>0</v>
      </c>
      <c r="G37" s="21">
        <f t="shared" si="17"/>
        <v>0</v>
      </c>
      <c r="H37" s="22">
        <f t="shared" si="18"/>
        <v>0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AA37" t="s">
        <v>508</v>
      </c>
      <c r="AB37" s="1" t="s">
        <v>1915</v>
      </c>
      <c r="AC37" s="1" t="s">
        <v>1</v>
      </c>
      <c r="AD37" s="1" t="s">
        <v>1915</v>
      </c>
      <c r="AE37" s="1" t="s">
        <v>5</v>
      </c>
      <c r="AF37" s="1" t="s">
        <v>3</v>
      </c>
      <c r="AG37">
        <f t="shared" si="0"/>
        <v>0</v>
      </c>
      <c r="AJ37">
        <v>361</v>
      </c>
      <c r="AK37" t="e">
        <f>IFERROR(AVERAGE(INDEX(Z:Z,AJ37,1):INDEX(Z:Z,AJ37+9,1)),NA())</f>
        <v>#N/A</v>
      </c>
      <c r="AL37" s="32" t="str">
        <f t="shared" si="1"/>
        <v>-</v>
      </c>
    </row>
    <row r="38" spans="1:38" hidden="1" x14ac:dyDescent="0.25">
      <c r="A38" s="6"/>
      <c r="B38" s="6"/>
      <c r="C38" s="6"/>
      <c r="D38" s="23">
        <f t="shared" si="14"/>
        <v>0</v>
      </c>
      <c r="E38" s="24">
        <f t="shared" si="15"/>
        <v>0</v>
      </c>
      <c r="F38" s="24">
        <f t="shared" si="16"/>
        <v>0</v>
      </c>
      <c r="G38" s="24">
        <f t="shared" si="17"/>
        <v>0</v>
      </c>
      <c r="H38" s="25">
        <f t="shared" si="18"/>
        <v>0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AA38" t="s">
        <v>443</v>
      </c>
      <c r="AB38" s="1" t="s">
        <v>0</v>
      </c>
      <c r="AC38" s="1" t="s">
        <v>5</v>
      </c>
      <c r="AD38" s="1" t="s">
        <v>13</v>
      </c>
      <c r="AE38" s="1" t="s">
        <v>1914</v>
      </c>
      <c r="AF38" s="1" t="s">
        <v>1</v>
      </c>
      <c r="AG38">
        <f t="shared" si="0"/>
        <v>0</v>
      </c>
      <c r="AJ38">
        <v>371</v>
      </c>
      <c r="AK38" t="e">
        <f>IFERROR(AVERAGE(INDEX(Z:Z,AJ38,1):INDEX(Z:Z,AJ38+9,1)),NA())</f>
        <v>#N/A</v>
      </c>
      <c r="AL38" s="32" t="str">
        <f t="shared" si="1"/>
        <v>-</v>
      </c>
    </row>
    <row r="39" spans="1:38" hidden="1" x14ac:dyDescent="0.25">
      <c r="A39" s="6"/>
      <c r="B39" s="6"/>
      <c r="C39" s="6"/>
      <c r="D39" s="17">
        <f t="shared" ref="D39:H44" si="19">COUNTIF($D$2:$H$2,"="&amp;D10)</f>
        <v>0</v>
      </c>
      <c r="E39" s="18">
        <f t="shared" si="19"/>
        <v>0</v>
      </c>
      <c r="F39" s="18">
        <f t="shared" si="19"/>
        <v>0</v>
      </c>
      <c r="G39" s="18">
        <f t="shared" si="19"/>
        <v>0</v>
      </c>
      <c r="H39" s="19">
        <f t="shared" si="19"/>
        <v>0</v>
      </c>
      <c r="J39" s="6" t="s">
        <v>1925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AA39" t="s">
        <v>1128</v>
      </c>
      <c r="AB39" s="1" t="s">
        <v>13</v>
      </c>
      <c r="AC39" s="1" t="s">
        <v>8</v>
      </c>
      <c r="AD39" s="1" t="s">
        <v>7</v>
      </c>
      <c r="AE39" s="1" t="s">
        <v>4</v>
      </c>
      <c r="AF39" s="1" t="s">
        <v>1</v>
      </c>
      <c r="AG39">
        <f t="shared" si="0"/>
        <v>0</v>
      </c>
      <c r="AJ39">
        <v>381</v>
      </c>
      <c r="AK39" t="e">
        <f>IFERROR(AVERAGE(INDEX(Z:Z,AJ39,1):INDEX(Z:Z,AJ39+9,1)),NA())</f>
        <v>#N/A</v>
      </c>
      <c r="AL39" s="32" t="str">
        <f t="shared" si="1"/>
        <v>-</v>
      </c>
    </row>
    <row r="40" spans="1:38" hidden="1" x14ac:dyDescent="0.25">
      <c r="A40" s="6"/>
      <c r="B40" s="6"/>
      <c r="C40" s="6"/>
      <c r="D40" s="20">
        <f t="shared" si="19"/>
        <v>0</v>
      </c>
      <c r="E40" s="21">
        <f t="shared" si="19"/>
        <v>0</v>
      </c>
      <c r="F40" s="21">
        <f t="shared" si="19"/>
        <v>0</v>
      </c>
      <c r="G40" s="21">
        <f t="shared" si="19"/>
        <v>0</v>
      </c>
      <c r="H40" s="22">
        <f t="shared" si="19"/>
        <v>0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AA40" t="s">
        <v>1565</v>
      </c>
      <c r="AB40" s="1" t="s">
        <v>2</v>
      </c>
      <c r="AC40" s="1" t="s">
        <v>11</v>
      </c>
      <c r="AD40" s="1" t="s">
        <v>7</v>
      </c>
      <c r="AE40" s="1" t="s">
        <v>7</v>
      </c>
      <c r="AF40" s="1" t="s">
        <v>5</v>
      </c>
      <c r="AG40">
        <f t="shared" si="0"/>
        <v>0</v>
      </c>
      <c r="AJ40">
        <v>391</v>
      </c>
      <c r="AK40" t="e">
        <f>IFERROR(AVERAGE(INDEX(Z:Z,AJ40,1):INDEX(Z:Z,AJ40+9,1)),NA())</f>
        <v>#N/A</v>
      </c>
      <c r="AL40" s="32" t="str">
        <f t="shared" si="1"/>
        <v>-</v>
      </c>
    </row>
    <row r="41" spans="1:38" hidden="1" x14ac:dyDescent="0.25">
      <c r="A41" s="6"/>
      <c r="B41" s="6"/>
      <c r="C41" s="6"/>
      <c r="D41" s="20">
        <f t="shared" si="19"/>
        <v>0</v>
      </c>
      <c r="E41" s="21">
        <f t="shared" si="19"/>
        <v>0</v>
      </c>
      <c r="F41" s="21">
        <f t="shared" si="19"/>
        <v>0</v>
      </c>
      <c r="G41" s="21">
        <f t="shared" si="19"/>
        <v>0</v>
      </c>
      <c r="H41" s="22">
        <f t="shared" si="19"/>
        <v>0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AA41" t="s">
        <v>855</v>
      </c>
      <c r="AB41" s="1" t="s">
        <v>1917</v>
      </c>
      <c r="AC41" s="1" t="s">
        <v>8</v>
      </c>
      <c r="AD41" s="1" t="s">
        <v>3</v>
      </c>
      <c r="AE41" s="1" t="s">
        <v>4</v>
      </c>
      <c r="AF41" s="1" t="s">
        <v>5</v>
      </c>
      <c r="AG41">
        <f t="shared" si="0"/>
        <v>0</v>
      </c>
      <c r="AJ41">
        <v>401</v>
      </c>
      <c r="AK41" t="e">
        <f>IFERROR(AVERAGE(INDEX(Z:Z,AJ41,1):INDEX(Z:Z,AJ41+9,1)),NA())</f>
        <v>#N/A</v>
      </c>
      <c r="AL41" s="32" t="str">
        <f t="shared" si="1"/>
        <v>-</v>
      </c>
    </row>
    <row r="42" spans="1:38" hidden="1" x14ac:dyDescent="0.25">
      <c r="A42" s="6"/>
      <c r="B42" s="6"/>
      <c r="C42" s="6"/>
      <c r="D42" s="20">
        <f t="shared" si="19"/>
        <v>0</v>
      </c>
      <c r="E42" s="21">
        <f t="shared" si="19"/>
        <v>0</v>
      </c>
      <c r="F42" s="21">
        <f t="shared" si="19"/>
        <v>0</v>
      </c>
      <c r="G42" s="21">
        <f t="shared" si="19"/>
        <v>0</v>
      </c>
      <c r="H42" s="22">
        <f t="shared" si="19"/>
        <v>0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AA42" t="s">
        <v>335</v>
      </c>
      <c r="AB42" s="1" t="s">
        <v>0</v>
      </c>
      <c r="AC42" s="1" t="s">
        <v>1</v>
      </c>
      <c r="AD42" s="1" t="s">
        <v>3</v>
      </c>
      <c r="AE42" s="1" t="s">
        <v>4</v>
      </c>
      <c r="AF42" s="1" t="s">
        <v>1</v>
      </c>
      <c r="AG42">
        <f t="shared" si="0"/>
        <v>0</v>
      </c>
      <c r="AJ42">
        <v>411</v>
      </c>
      <c r="AK42" t="e">
        <f>IFERROR(AVERAGE(INDEX(Z:Z,AJ42,1):INDEX(Z:Z,AJ42+9,1)),NA())</f>
        <v>#N/A</v>
      </c>
      <c r="AL42" s="32" t="str">
        <f t="shared" si="1"/>
        <v>-</v>
      </c>
    </row>
    <row r="43" spans="1:38" hidden="1" x14ac:dyDescent="0.25">
      <c r="A43" s="6"/>
      <c r="B43" s="6"/>
      <c r="C43" s="6"/>
      <c r="D43" s="20">
        <f t="shared" si="19"/>
        <v>0</v>
      </c>
      <c r="E43" s="21">
        <f t="shared" si="19"/>
        <v>0</v>
      </c>
      <c r="F43" s="21">
        <f t="shared" si="19"/>
        <v>0</v>
      </c>
      <c r="G43" s="21">
        <f t="shared" si="19"/>
        <v>0</v>
      </c>
      <c r="H43" s="22">
        <f t="shared" si="19"/>
        <v>0</v>
      </c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AA43" t="s">
        <v>1365</v>
      </c>
      <c r="AB43" s="1" t="s">
        <v>9</v>
      </c>
      <c r="AC43" s="1" t="s">
        <v>5</v>
      </c>
      <c r="AD43" s="1" t="s">
        <v>1915</v>
      </c>
      <c r="AE43" s="1" t="s">
        <v>10</v>
      </c>
      <c r="AF43" s="1" t="s">
        <v>5</v>
      </c>
      <c r="AG43">
        <f t="shared" si="0"/>
        <v>0</v>
      </c>
      <c r="AJ43">
        <v>421</v>
      </c>
      <c r="AK43" t="e">
        <f>IFERROR(AVERAGE(INDEX(Z:Z,AJ43,1):INDEX(Z:Z,AJ43+9,1)),NA())</f>
        <v>#N/A</v>
      </c>
      <c r="AL43" s="32" t="str">
        <f t="shared" si="1"/>
        <v>-</v>
      </c>
    </row>
    <row r="44" spans="1:38" hidden="1" x14ac:dyDescent="0.25">
      <c r="A44" s="6"/>
      <c r="B44" s="6"/>
      <c r="C44" s="6"/>
      <c r="D44" s="23">
        <f t="shared" si="19"/>
        <v>0</v>
      </c>
      <c r="E44" s="24">
        <f t="shared" si="19"/>
        <v>0</v>
      </c>
      <c r="F44" s="24">
        <f t="shared" si="19"/>
        <v>0</v>
      </c>
      <c r="G44" s="24">
        <f t="shared" si="19"/>
        <v>0</v>
      </c>
      <c r="H44" s="25">
        <f t="shared" si="19"/>
        <v>0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AA44" t="s">
        <v>123</v>
      </c>
      <c r="AB44" s="1" t="s">
        <v>1</v>
      </c>
      <c r="AC44" s="1" t="s">
        <v>2</v>
      </c>
      <c r="AD44" s="1" t="s">
        <v>1</v>
      </c>
      <c r="AE44" s="1" t="s">
        <v>1915</v>
      </c>
      <c r="AF44" s="1" t="s">
        <v>1</v>
      </c>
      <c r="AG44">
        <f t="shared" si="0"/>
        <v>0</v>
      </c>
      <c r="AJ44">
        <v>431</v>
      </c>
      <c r="AK44" t="e">
        <f>IFERROR(AVERAGE(INDEX(Z:Z,AJ44,1):INDEX(Z:Z,AJ44+9,1)),NA())</f>
        <v>#N/A</v>
      </c>
      <c r="AL44" s="32" t="str">
        <f t="shared" si="1"/>
        <v>-</v>
      </c>
    </row>
    <row r="45" spans="1:38" hidden="1" x14ac:dyDescent="0.25">
      <c r="A45" s="6"/>
      <c r="B45" s="6"/>
      <c r="C45" s="6"/>
      <c r="D45" s="26">
        <f>IF(D27=1,1,IF((D39-D33)&gt;0,-1,0))</f>
        <v>0</v>
      </c>
      <c r="E45" s="27">
        <f t="shared" ref="E45:E50" si="20">IF(E27=1,1,IF((E39-E33-IF(AND(D45=-1,E10=D10),1,0))&gt;0,-1,0))</f>
        <v>0</v>
      </c>
      <c r="F45" s="27">
        <f t="shared" ref="F45:F50" si="21">IF(F27=1,1,IF((F39-F33-IF(AND(D45=-1,F10=D10),1,0)-IF(AND(E45=-1,F10=E10),1,0))&gt;0,-1,0))</f>
        <v>0</v>
      </c>
      <c r="G45" s="27">
        <f t="shared" ref="G45:G50" si="22">IF(G27=1,1,IF((G39-G33-IF(AND(D45=-1,G10=D10),1,0)-IF(AND(E45=-1,G10=E10),1,0)-IF(AND(F45=-1,G10=F10),1,0))&gt;0,-1,0))</f>
        <v>0</v>
      </c>
      <c r="H45" s="28">
        <f t="shared" ref="H45:H50" si="23">IF(H27=1,1,IF((H39-H33-IF(AND(D45=-1,H10=D10),1,0)-IF(AND(E45=-1,H10=E10),1,0)-IF(AND(F45=-1,H10=F10),1,0)-IF(AND(G45=-1,H10=G10),1,0))&gt;0,-1,0))</f>
        <v>0</v>
      </c>
      <c r="J45" s="6" t="s">
        <v>1930</v>
      </c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AA45" t="s">
        <v>89</v>
      </c>
      <c r="AB45" s="1" t="s">
        <v>1</v>
      </c>
      <c r="AC45" s="1" t="s">
        <v>6</v>
      </c>
      <c r="AD45" s="1" t="s">
        <v>11</v>
      </c>
      <c r="AE45" s="1" t="s">
        <v>1922</v>
      </c>
      <c r="AF45" s="1" t="s">
        <v>1</v>
      </c>
      <c r="AG45">
        <f t="shared" si="0"/>
        <v>0</v>
      </c>
      <c r="AJ45">
        <v>441</v>
      </c>
      <c r="AK45" t="e">
        <f>IFERROR(AVERAGE(INDEX(Z:Z,AJ45,1):INDEX(Z:Z,AJ45+9,1)),NA())</f>
        <v>#N/A</v>
      </c>
      <c r="AL45" s="32" t="str">
        <f t="shared" si="1"/>
        <v>-</v>
      </c>
    </row>
    <row r="46" spans="1:38" hidden="1" x14ac:dyDescent="0.25">
      <c r="A46" s="6"/>
      <c r="B46" s="6"/>
      <c r="C46" s="6"/>
      <c r="D46" s="20">
        <f t="shared" ref="D46:D50" si="24">IF(D28=1,1,IF((D40-D34)&gt;0,-1,0))</f>
        <v>0</v>
      </c>
      <c r="E46" s="21">
        <f t="shared" si="20"/>
        <v>0</v>
      </c>
      <c r="F46" s="21">
        <f t="shared" si="21"/>
        <v>0</v>
      </c>
      <c r="G46" s="21">
        <f t="shared" si="22"/>
        <v>0</v>
      </c>
      <c r="H46" s="22">
        <f t="shared" si="23"/>
        <v>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AA46" t="s">
        <v>1084</v>
      </c>
      <c r="AB46" s="1" t="s">
        <v>13</v>
      </c>
      <c r="AC46" s="1" t="s">
        <v>10</v>
      </c>
      <c r="AD46" s="1" t="s">
        <v>2</v>
      </c>
      <c r="AE46" s="1" t="s">
        <v>1</v>
      </c>
      <c r="AF46" s="1" t="s">
        <v>7</v>
      </c>
      <c r="AG46">
        <f t="shared" si="0"/>
        <v>0</v>
      </c>
      <c r="AJ46">
        <v>451</v>
      </c>
      <c r="AK46" t="e">
        <f>IFERROR(AVERAGE(INDEX(Z:Z,AJ46,1):INDEX(Z:Z,AJ46+9,1)),NA())</f>
        <v>#N/A</v>
      </c>
      <c r="AL46" s="32" t="str">
        <f t="shared" si="1"/>
        <v>-</v>
      </c>
    </row>
    <row r="47" spans="1:38" hidden="1" x14ac:dyDescent="0.25">
      <c r="A47" s="6"/>
      <c r="B47" s="6"/>
      <c r="C47" s="6"/>
      <c r="D47" s="20">
        <f t="shared" si="24"/>
        <v>0</v>
      </c>
      <c r="E47" s="21">
        <f t="shared" si="20"/>
        <v>0</v>
      </c>
      <c r="F47" s="21">
        <f t="shared" si="21"/>
        <v>0</v>
      </c>
      <c r="G47" s="21">
        <f t="shared" si="22"/>
        <v>0</v>
      </c>
      <c r="H47" s="22">
        <f t="shared" si="23"/>
        <v>0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AA47" t="s">
        <v>144</v>
      </c>
      <c r="AB47" s="1" t="s">
        <v>1</v>
      </c>
      <c r="AC47" s="1" t="s">
        <v>1919</v>
      </c>
      <c r="AD47" s="1" t="s">
        <v>1</v>
      </c>
      <c r="AE47" s="1" t="s">
        <v>3</v>
      </c>
      <c r="AF47" s="1" t="s">
        <v>5</v>
      </c>
      <c r="AG47">
        <f t="shared" si="0"/>
        <v>0</v>
      </c>
      <c r="AJ47">
        <v>461</v>
      </c>
      <c r="AK47" t="e">
        <f>IFERROR(AVERAGE(INDEX(Z:Z,AJ47,1):INDEX(Z:Z,AJ47+9,1)),NA())</f>
        <v>#N/A</v>
      </c>
      <c r="AL47" s="32" t="str">
        <f t="shared" si="1"/>
        <v>-</v>
      </c>
    </row>
    <row r="48" spans="1:38" hidden="1" x14ac:dyDescent="0.25">
      <c r="A48" s="6"/>
      <c r="B48" s="6"/>
      <c r="C48" s="6"/>
      <c r="D48" s="20">
        <f t="shared" si="24"/>
        <v>0</v>
      </c>
      <c r="E48" s="21">
        <f t="shared" si="20"/>
        <v>0</v>
      </c>
      <c r="F48" s="21">
        <f t="shared" si="21"/>
        <v>0</v>
      </c>
      <c r="G48" s="21">
        <f t="shared" si="22"/>
        <v>0</v>
      </c>
      <c r="H48" s="22">
        <f t="shared" si="23"/>
        <v>0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AA48" t="s">
        <v>390</v>
      </c>
      <c r="AB48" s="1" t="s">
        <v>0</v>
      </c>
      <c r="AC48" s="1" t="s">
        <v>1917</v>
      </c>
      <c r="AD48" s="1" t="s">
        <v>5</v>
      </c>
      <c r="AE48" s="1" t="s">
        <v>7</v>
      </c>
      <c r="AF48" s="1" t="s">
        <v>1</v>
      </c>
      <c r="AG48">
        <f t="shared" si="0"/>
        <v>0</v>
      </c>
      <c r="AJ48">
        <v>471</v>
      </c>
      <c r="AK48" t="e">
        <f>IFERROR(AVERAGE(INDEX(Z:Z,AJ48,1):INDEX(Z:Z,AJ48+9,1)),NA())</f>
        <v>#N/A</v>
      </c>
      <c r="AL48" s="32" t="str">
        <f t="shared" si="1"/>
        <v>-</v>
      </c>
    </row>
    <row r="49" spans="1:38" hidden="1" x14ac:dyDescent="0.25">
      <c r="A49" s="6"/>
      <c r="B49" s="6"/>
      <c r="C49" s="6"/>
      <c r="D49" s="20">
        <f t="shared" si="24"/>
        <v>0</v>
      </c>
      <c r="E49" s="21">
        <f t="shared" si="20"/>
        <v>0</v>
      </c>
      <c r="F49" s="21">
        <f t="shared" si="21"/>
        <v>0</v>
      </c>
      <c r="G49" s="21">
        <f t="shared" si="22"/>
        <v>0</v>
      </c>
      <c r="H49" s="22">
        <f t="shared" si="23"/>
        <v>0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AA49" t="s">
        <v>1447</v>
      </c>
      <c r="AB49" s="1" t="s">
        <v>3</v>
      </c>
      <c r="AC49" s="1" t="s">
        <v>1</v>
      </c>
      <c r="AD49" s="1" t="s">
        <v>8</v>
      </c>
      <c r="AE49" s="1" t="s">
        <v>1915</v>
      </c>
      <c r="AF49" s="1" t="s">
        <v>5</v>
      </c>
      <c r="AG49">
        <f t="shared" si="0"/>
        <v>0</v>
      </c>
      <c r="AJ49">
        <v>481</v>
      </c>
      <c r="AK49" t="e">
        <f>IFERROR(AVERAGE(INDEX(Z:Z,AJ49,1):INDEX(Z:Z,AJ49+9,1)),NA())</f>
        <v>#N/A</v>
      </c>
      <c r="AL49" s="32" t="str">
        <f t="shared" si="1"/>
        <v>-</v>
      </c>
    </row>
    <row r="50" spans="1:38" hidden="1" x14ac:dyDescent="0.25">
      <c r="A50" s="6"/>
      <c r="B50" s="6"/>
      <c r="C50" s="6"/>
      <c r="D50" s="23">
        <f t="shared" si="24"/>
        <v>0</v>
      </c>
      <c r="E50" s="24">
        <f t="shared" si="20"/>
        <v>0</v>
      </c>
      <c r="F50" s="24">
        <f t="shared" si="21"/>
        <v>0</v>
      </c>
      <c r="G50" s="24">
        <f t="shared" si="22"/>
        <v>0</v>
      </c>
      <c r="H50" s="25">
        <f t="shared" si="23"/>
        <v>0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AA50" t="s">
        <v>1747</v>
      </c>
      <c r="AB50" s="1" t="s">
        <v>4</v>
      </c>
      <c r="AC50" s="1" t="s">
        <v>5</v>
      </c>
      <c r="AD50" s="1" t="s">
        <v>4</v>
      </c>
      <c r="AE50" s="1" t="s">
        <v>1</v>
      </c>
      <c r="AF50" s="1" t="s">
        <v>7</v>
      </c>
      <c r="AG50">
        <f t="shared" si="0"/>
        <v>0</v>
      </c>
      <c r="AJ50">
        <v>491</v>
      </c>
      <c r="AK50" t="e">
        <f>IFERROR(AVERAGE(INDEX(Z:Z,AJ50,1):INDEX(Z:Z,AJ50+9,1)),NA())</f>
        <v>#N/A</v>
      </c>
      <c r="AL50" s="32" t="str">
        <f t="shared" si="1"/>
        <v>-</v>
      </c>
    </row>
    <row r="51" spans="1:38" hidden="1" x14ac:dyDescent="0.25">
      <c r="A51" s="6"/>
      <c r="B51" s="6"/>
      <c r="C51" s="6"/>
      <c r="D51" s="7"/>
      <c r="E51" s="7"/>
      <c r="F51" s="7"/>
      <c r="G51" s="7"/>
      <c r="H51" s="7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AA51" t="s">
        <v>504</v>
      </c>
      <c r="AB51" s="1" t="s">
        <v>0</v>
      </c>
      <c r="AC51" s="1" t="s">
        <v>8</v>
      </c>
      <c r="AD51" s="1" t="s">
        <v>3</v>
      </c>
      <c r="AE51" s="1" t="s">
        <v>1919</v>
      </c>
      <c r="AF51" s="1" t="s">
        <v>5</v>
      </c>
      <c r="AG51">
        <f t="shared" si="0"/>
        <v>0</v>
      </c>
      <c r="AJ51">
        <v>501</v>
      </c>
      <c r="AK51" t="e">
        <f>IFERROR(AVERAGE(INDEX(Z:Z,AJ51,1):INDEX(Z:Z,AJ51+9,1)),NA())</f>
        <v>#N/A</v>
      </c>
      <c r="AL51" s="32" t="str">
        <f t="shared" si="1"/>
        <v>-</v>
      </c>
    </row>
    <row r="52" spans="1:38" hidden="1" x14ac:dyDescent="0.25">
      <c r="A52" s="6"/>
      <c r="B52" s="6"/>
      <c r="C52" s="6"/>
      <c r="D52" s="7"/>
      <c r="E52" s="7"/>
      <c r="F52" s="7"/>
      <c r="G52" s="7"/>
      <c r="H52" s="7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AA52" t="s">
        <v>2202</v>
      </c>
      <c r="AB52" s="1" t="s">
        <v>13</v>
      </c>
      <c r="AC52" s="1" t="s">
        <v>10</v>
      </c>
      <c r="AD52" s="1" t="s">
        <v>3</v>
      </c>
      <c r="AE52" s="1" t="s">
        <v>5</v>
      </c>
      <c r="AF52" s="1" t="s">
        <v>6</v>
      </c>
      <c r="AG52">
        <f t="shared" si="0"/>
        <v>0</v>
      </c>
      <c r="AJ52">
        <v>511</v>
      </c>
      <c r="AK52" t="e">
        <f>IFERROR(AVERAGE(INDEX(Z:Z,AJ52,1):INDEX(Z:Z,AJ52+9,1)),NA())</f>
        <v>#N/A</v>
      </c>
      <c r="AL52" s="32" t="str">
        <f t="shared" si="1"/>
        <v>-</v>
      </c>
    </row>
    <row r="53" spans="1:38" hidden="1" x14ac:dyDescent="0.25">
      <c r="A53" s="6"/>
      <c r="B53" s="6"/>
      <c r="C53" s="6"/>
      <c r="D53" s="29">
        <f>COUNTIF($D$10:$H$10,"="&amp;D10)</f>
        <v>5</v>
      </c>
      <c r="E53" s="29">
        <f>COUNTIF($D$10:$H$10,"="&amp;E10)</f>
        <v>5</v>
      </c>
      <c r="F53" s="29">
        <f>COUNTIF($D$10:$H$10,"="&amp;F10)</f>
        <v>5</v>
      </c>
      <c r="G53" s="29">
        <f>COUNTIF($D$10:$H$10,"="&amp;G10)</f>
        <v>5</v>
      </c>
      <c r="H53" s="29">
        <f>COUNTIF($D$10:$H$10,"="&amp;H10)</f>
        <v>5</v>
      </c>
      <c r="J53" s="6" t="s">
        <v>1926</v>
      </c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AA53" t="s">
        <v>1709</v>
      </c>
      <c r="AB53" s="1" t="s">
        <v>4</v>
      </c>
      <c r="AC53" s="1" t="s">
        <v>10</v>
      </c>
      <c r="AD53" s="1" t="s">
        <v>11</v>
      </c>
      <c r="AE53" s="1" t="s">
        <v>2</v>
      </c>
      <c r="AF53" s="1" t="s">
        <v>1</v>
      </c>
      <c r="AG53">
        <f t="shared" si="0"/>
        <v>0</v>
      </c>
      <c r="AJ53">
        <v>521</v>
      </c>
      <c r="AK53" t="e">
        <f>IFERROR(AVERAGE(INDEX(Z:Z,AJ53,1):INDEX(Z:Z,AJ53+9,1)),NA())</f>
        <v>#N/A</v>
      </c>
      <c r="AL53" s="32" t="str">
        <f t="shared" si="1"/>
        <v>-</v>
      </c>
    </row>
    <row r="54" spans="1:38" hidden="1" x14ac:dyDescent="0.25">
      <c r="A54" s="6"/>
      <c r="B54" s="6"/>
      <c r="C54" s="6"/>
      <c r="D54" s="30">
        <f>COUNTIF(E2:H2,"="&amp;D10)</f>
        <v>0</v>
      </c>
      <c r="E54" s="30">
        <f>COUNTIF(F2:H2,"="&amp;E10)+COUNTIF(D2:D2,"="&amp;E10)</f>
        <v>0</v>
      </c>
      <c r="F54" s="30">
        <f>COUNTIF(G2:H2,"="&amp;F10)+COUNTIF(D2:E2,"="&amp;F10)</f>
        <v>0</v>
      </c>
      <c r="G54" s="30">
        <f>COUNTIF(H2,"="&amp;G10)+COUNTIF(D2:F2,"="&amp;G10)</f>
        <v>0</v>
      </c>
      <c r="H54" s="30">
        <f>COUNTIF(I2,"="&amp;H10)</f>
        <v>1</v>
      </c>
      <c r="J54" s="6" t="s">
        <v>1927</v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AA54" t="s">
        <v>1585</v>
      </c>
      <c r="AB54" s="1" t="s">
        <v>2</v>
      </c>
      <c r="AC54" s="1" t="s">
        <v>10</v>
      </c>
      <c r="AD54" s="1" t="s">
        <v>1915</v>
      </c>
      <c r="AE54" s="1" t="s">
        <v>3</v>
      </c>
      <c r="AF54" s="1" t="s">
        <v>1</v>
      </c>
      <c r="AG54">
        <f t="shared" si="0"/>
        <v>0</v>
      </c>
      <c r="AJ54">
        <v>531</v>
      </c>
      <c r="AK54" t="e">
        <f>IFERROR(AVERAGE(INDEX(Z:Z,AJ54,1):INDEX(Z:Z,AJ54+9,1)),NA())</f>
        <v>#N/A</v>
      </c>
      <c r="AL54" s="32" t="str">
        <f t="shared" si="1"/>
        <v>-</v>
      </c>
    </row>
    <row r="55" spans="1:38" hidden="1" x14ac:dyDescent="0.25">
      <c r="A55" s="6"/>
      <c r="B55" s="6"/>
      <c r="C55" s="6"/>
      <c r="D55" s="29">
        <f>IF(AND(D27=0,D54&gt;0),IF(OR(IF(AND(D10=E10,E27=1),1,0),IF(AND(D10=F10,F27=1),1,0),IF(AND(D10=G10,G27=1),1,0),IF(AND(D10=H10,H27=1),1,0))=TRUE(),1,0),0)</f>
        <v>0</v>
      </c>
      <c r="E55" s="29">
        <f>IF(AND(E27=0,E54&gt;0),IF(OR(IF(AND(E10=F10,F27=1),1,0),IF(AND(E10=G10,G27=1),1,0),IF(AND(E10=H10,H27=1),1,0),IF(AND(E10=D10,D27=1),1,0))=TRUE(),1,0),0)</f>
        <v>0</v>
      </c>
      <c r="F55" s="29">
        <f>IF(AND(F27=0,F54&gt;0),IF(OR(IF(AND(F10=G10,G27=1),1,0),IF(AND(F10=H10,H27=1),1,0),IF(AND(F10=D10,D27=1),1,0),IF(AND(F10=E10,E27=1),1,0))=TRUE(),1,0),0)</f>
        <v>0</v>
      </c>
      <c r="G55" s="29">
        <f>IF(AND(G27=0,G54&gt;0),IF(OR(IF(AND(G10=H10,H27=1),1,0),IF(AND(G10=D10,D27=1),1,0),IF(AND(G10=E10,E27=1),1,0),IF(AND(G10=F10,F27=1),1,0))=TRUE(),1,0),0)</f>
        <v>0</v>
      </c>
      <c r="H55" s="29">
        <f>IF(AND(H27=0,H54&gt;0),IF(OR(IF(AND(H10=D10,D27=1),1,0),IF(AND(H10=E10,E27=1),1,0),IF(AND(H10=F10,F27=1),1,0),IF(AND(H10=G10,G27=1),1,0))=TRUE(),1,0),0)</f>
        <v>0</v>
      </c>
      <c r="J55" s="6" t="s">
        <v>1928</v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AA55" t="s">
        <v>1534</v>
      </c>
      <c r="AB55" s="1" t="s">
        <v>2</v>
      </c>
      <c r="AC55" s="1" t="s">
        <v>1</v>
      </c>
      <c r="AD55" s="1" t="s">
        <v>11</v>
      </c>
      <c r="AE55" s="1" t="s">
        <v>4</v>
      </c>
      <c r="AF55" s="1" t="s">
        <v>1</v>
      </c>
      <c r="AG55">
        <f t="shared" si="0"/>
        <v>0</v>
      </c>
      <c r="AJ55">
        <v>541</v>
      </c>
      <c r="AK55" t="e">
        <f>IFERROR(AVERAGE(INDEX(Z:Z,AJ55,1):INDEX(Z:Z,AJ55+9,1)),NA())</f>
        <v>#N/A</v>
      </c>
      <c r="AL55" s="32" t="str">
        <f t="shared" si="1"/>
        <v>-</v>
      </c>
    </row>
    <row r="56" spans="1:38" hidden="1" x14ac:dyDescent="0.25">
      <c r="A56" s="6"/>
      <c r="B56" s="6"/>
      <c r="C56" s="6"/>
      <c r="D56" s="7"/>
      <c r="E56" s="7"/>
      <c r="F56" s="7"/>
      <c r="G56" s="7"/>
      <c r="H56" s="7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AA56" t="s">
        <v>1426</v>
      </c>
      <c r="AB56" s="1" t="s">
        <v>3</v>
      </c>
      <c r="AC56" s="1" t="s">
        <v>1</v>
      </c>
      <c r="AD56" s="1" t="s">
        <v>1914</v>
      </c>
      <c r="AE56" s="1" t="s">
        <v>10</v>
      </c>
      <c r="AF56" s="1" t="s">
        <v>1</v>
      </c>
      <c r="AG56">
        <f t="shared" si="0"/>
        <v>0</v>
      </c>
      <c r="AJ56">
        <v>551</v>
      </c>
      <c r="AK56" t="e">
        <f>IFERROR(AVERAGE(INDEX(Z:Z,AJ56,1):INDEX(Z:Z,AJ56+9,1)),NA())</f>
        <v>#N/A</v>
      </c>
      <c r="AL56" s="32" t="str">
        <f t="shared" si="1"/>
        <v>-</v>
      </c>
    </row>
    <row r="57" spans="1:38" x14ac:dyDescent="0.25">
      <c r="B57" s="6"/>
      <c r="C57" s="6"/>
      <c r="D57" s="7"/>
      <c r="E57" s="7"/>
      <c r="F57" s="7"/>
      <c r="G57" s="7"/>
      <c r="H57" s="7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AA57" t="s">
        <v>2133</v>
      </c>
      <c r="AB57" s="1" t="s">
        <v>11</v>
      </c>
      <c r="AC57" s="1" t="s">
        <v>6</v>
      </c>
      <c r="AD57" s="1" t="s">
        <v>0</v>
      </c>
      <c r="AE57" s="1" t="s">
        <v>10</v>
      </c>
      <c r="AF57" s="1" t="s">
        <v>1</v>
      </c>
      <c r="AG57">
        <f t="shared" si="0"/>
        <v>0</v>
      </c>
      <c r="AJ57">
        <v>561</v>
      </c>
      <c r="AK57" t="e">
        <f>IFERROR(AVERAGE(INDEX(Z:Z,AJ57,1):INDEX(Z:Z,AJ57+9,1)),NA())</f>
        <v>#N/A</v>
      </c>
      <c r="AL57" s="32" t="str">
        <f t="shared" si="1"/>
        <v>-</v>
      </c>
    </row>
    <row r="58" spans="1:38" x14ac:dyDescent="0.25">
      <c r="B58" s="6"/>
      <c r="C58" s="6"/>
      <c r="D58" s="7"/>
      <c r="E58" s="7"/>
      <c r="F58" s="7"/>
      <c r="G58" s="7"/>
      <c r="H58" s="7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AA58" t="s">
        <v>2201</v>
      </c>
      <c r="AB58" s="1" t="s">
        <v>1914</v>
      </c>
      <c r="AC58" s="1" t="s">
        <v>5</v>
      </c>
      <c r="AD58" s="1" t="s">
        <v>1922</v>
      </c>
      <c r="AE58" s="1" t="s">
        <v>11</v>
      </c>
      <c r="AF58" s="1" t="s">
        <v>3</v>
      </c>
      <c r="AG58">
        <f t="shared" si="0"/>
        <v>0</v>
      </c>
      <c r="AJ58">
        <v>571</v>
      </c>
      <c r="AK58" t="e">
        <f>IFERROR(AVERAGE(INDEX(Z:Z,AJ58,1):INDEX(Z:Z,AJ58+9,1)),NA())</f>
        <v>#N/A</v>
      </c>
      <c r="AL58" s="32" t="str">
        <f t="shared" si="1"/>
        <v>-</v>
      </c>
    </row>
    <row r="59" spans="1:38" x14ac:dyDescent="0.25">
      <c r="B59" s="6"/>
      <c r="C59" s="6"/>
      <c r="D59" s="7"/>
      <c r="E59" s="7"/>
      <c r="F59" s="7"/>
      <c r="G59" s="7"/>
      <c r="H59" s="7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AA59" t="s">
        <v>810</v>
      </c>
      <c r="AB59" s="1" t="s">
        <v>1917</v>
      </c>
      <c r="AC59" s="1" t="s">
        <v>11</v>
      </c>
      <c r="AD59" s="1" t="s">
        <v>1914</v>
      </c>
      <c r="AE59" s="1" t="s">
        <v>3</v>
      </c>
      <c r="AF59" s="1" t="s">
        <v>1</v>
      </c>
      <c r="AG59">
        <f t="shared" si="0"/>
        <v>0</v>
      </c>
      <c r="AJ59">
        <v>581</v>
      </c>
      <c r="AK59" t="e">
        <f>IFERROR(AVERAGE(INDEX(Z:Z,AJ59,1):INDEX(Z:Z,AJ59+9,1)),NA())</f>
        <v>#N/A</v>
      </c>
      <c r="AL59" s="32" t="str">
        <f t="shared" si="1"/>
        <v>-</v>
      </c>
    </row>
    <row r="60" spans="1:38" x14ac:dyDescent="0.25">
      <c r="B60" s="6"/>
      <c r="C60" s="6"/>
      <c r="D60" s="7"/>
      <c r="E60" s="7"/>
      <c r="F60" s="7"/>
      <c r="G60" s="7"/>
      <c r="H60" s="7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AA60" t="s">
        <v>1388</v>
      </c>
      <c r="AB60" s="1" t="s">
        <v>9</v>
      </c>
      <c r="AC60" s="1" t="s">
        <v>5</v>
      </c>
      <c r="AD60" s="1" t="s">
        <v>4</v>
      </c>
      <c r="AE60" s="1" t="s">
        <v>3</v>
      </c>
      <c r="AF60" s="1" t="s">
        <v>5</v>
      </c>
      <c r="AG60">
        <f t="shared" si="0"/>
        <v>0</v>
      </c>
      <c r="AJ60">
        <v>591</v>
      </c>
      <c r="AK60" t="e">
        <f>IFERROR(AVERAGE(INDEX(Z:Z,AJ60,1):INDEX(Z:Z,AJ60+9,1)),NA())</f>
        <v>#N/A</v>
      </c>
      <c r="AL60" s="32" t="str">
        <f t="shared" si="1"/>
        <v>-</v>
      </c>
    </row>
    <row r="61" spans="1:38" x14ac:dyDescent="0.25">
      <c r="B61" s="6"/>
      <c r="C61" s="6"/>
      <c r="D61" s="7"/>
      <c r="E61" s="7"/>
      <c r="F61" s="7"/>
      <c r="G61" s="7"/>
      <c r="H61" s="7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AA61" t="s">
        <v>1623</v>
      </c>
      <c r="AB61" s="1" t="s">
        <v>2</v>
      </c>
      <c r="AC61" s="1" t="s">
        <v>5</v>
      </c>
      <c r="AD61" s="1" t="s">
        <v>3</v>
      </c>
      <c r="AE61" s="1" t="s">
        <v>6</v>
      </c>
      <c r="AF61" s="1" t="s">
        <v>1</v>
      </c>
      <c r="AG61">
        <f t="shared" si="0"/>
        <v>0</v>
      </c>
      <c r="AJ61">
        <v>601</v>
      </c>
      <c r="AK61" t="e">
        <f>IFERROR(AVERAGE(INDEX(Z:Z,AJ61,1):INDEX(Z:Z,AJ61+9,1)),NA())</f>
        <v>#N/A</v>
      </c>
      <c r="AL61" s="32" t="str">
        <f t="shared" si="1"/>
        <v>-</v>
      </c>
    </row>
    <row r="62" spans="1:38" x14ac:dyDescent="0.25">
      <c r="B62" s="6"/>
      <c r="C62" s="6"/>
      <c r="D62" s="7"/>
      <c r="E62" s="7"/>
      <c r="F62" s="7"/>
      <c r="G62" s="7"/>
      <c r="H62" s="7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AA62" t="s">
        <v>93</v>
      </c>
      <c r="AB62" s="1" t="s">
        <v>1</v>
      </c>
      <c r="AC62" s="1" t="s">
        <v>6</v>
      </c>
      <c r="AD62" s="1" t="s">
        <v>2</v>
      </c>
      <c r="AE62" s="1" t="s">
        <v>10</v>
      </c>
      <c r="AF62" s="1" t="s">
        <v>1</v>
      </c>
      <c r="AG62">
        <f t="shared" si="0"/>
        <v>0</v>
      </c>
      <c r="AJ62">
        <v>611</v>
      </c>
      <c r="AK62" t="e">
        <f>IFERROR(AVERAGE(INDEX(Z:Z,AJ62,1):INDEX(Z:Z,AJ62+9,1)),NA())</f>
        <v>#N/A</v>
      </c>
      <c r="AL62" s="32" t="str">
        <f t="shared" si="1"/>
        <v>-</v>
      </c>
    </row>
    <row r="63" spans="1:38" x14ac:dyDescent="0.25">
      <c r="B63" s="6"/>
      <c r="C63" s="6"/>
      <c r="D63" s="7"/>
      <c r="E63" s="7"/>
      <c r="F63" s="7"/>
      <c r="G63" s="7"/>
      <c r="H63" s="7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AA63" t="s">
        <v>179</v>
      </c>
      <c r="AB63" s="1" t="s">
        <v>1914</v>
      </c>
      <c r="AC63" s="1" t="s">
        <v>1</v>
      </c>
      <c r="AD63" s="1" t="s">
        <v>3</v>
      </c>
      <c r="AE63" s="1" t="s">
        <v>1915</v>
      </c>
      <c r="AF63" s="1" t="s">
        <v>5</v>
      </c>
      <c r="AG63">
        <f t="shared" si="0"/>
        <v>0</v>
      </c>
      <c r="AJ63">
        <v>621</v>
      </c>
      <c r="AK63" t="e">
        <f>IFERROR(AVERAGE(INDEX(Z:Z,AJ63,1):INDEX(Z:Z,AJ63+9,1)),NA())</f>
        <v>#N/A</v>
      </c>
      <c r="AL63" s="32" t="str">
        <f t="shared" si="1"/>
        <v>-</v>
      </c>
    </row>
    <row r="64" spans="1:38" x14ac:dyDescent="0.25">
      <c r="B64" s="6"/>
      <c r="C64" s="6"/>
      <c r="D64" s="7"/>
      <c r="E64" s="7"/>
      <c r="F64" s="7"/>
      <c r="G64" s="7"/>
      <c r="H64" s="7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AA64" t="s">
        <v>2005</v>
      </c>
      <c r="AB64" s="1" t="s">
        <v>1</v>
      </c>
      <c r="AC64" s="1" t="s">
        <v>1921</v>
      </c>
      <c r="AD64" s="1" t="s">
        <v>1</v>
      </c>
      <c r="AE64" s="1" t="s">
        <v>4</v>
      </c>
      <c r="AF64" s="1" t="s">
        <v>1</v>
      </c>
      <c r="AG64">
        <f t="shared" si="0"/>
        <v>0</v>
      </c>
      <c r="AJ64">
        <v>631</v>
      </c>
      <c r="AK64" t="e">
        <f>IFERROR(AVERAGE(INDEX(Z:Z,AJ64,1):INDEX(Z:Z,AJ64+9,1)),NA())</f>
        <v>#N/A</v>
      </c>
      <c r="AL64" s="32" t="str">
        <f t="shared" si="1"/>
        <v>-</v>
      </c>
    </row>
    <row r="65" spans="2:38" x14ac:dyDescent="0.25">
      <c r="B65" s="6"/>
      <c r="C65" s="6"/>
      <c r="D65" s="7"/>
      <c r="E65" s="7"/>
      <c r="F65" s="7"/>
      <c r="G65" s="7"/>
      <c r="H65" s="7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AA65" t="s">
        <v>1381</v>
      </c>
      <c r="AB65" s="1" t="s">
        <v>9</v>
      </c>
      <c r="AC65" s="1" t="s">
        <v>5</v>
      </c>
      <c r="AD65" s="1" t="s">
        <v>3</v>
      </c>
      <c r="AE65" s="1" t="s">
        <v>3</v>
      </c>
      <c r="AF65" s="1" t="s">
        <v>1</v>
      </c>
      <c r="AG65">
        <f t="shared" si="0"/>
        <v>0</v>
      </c>
      <c r="AJ65">
        <v>641</v>
      </c>
      <c r="AK65" t="e">
        <f>IFERROR(AVERAGE(INDEX(Z:Z,AJ65,1):INDEX(Z:Z,AJ65+9,1)),NA())</f>
        <v>#N/A</v>
      </c>
      <c r="AL65" s="32" t="str">
        <f t="shared" si="1"/>
        <v>-</v>
      </c>
    </row>
    <row r="66" spans="2:38" x14ac:dyDescent="0.25">
      <c r="B66" s="6"/>
      <c r="C66" s="6"/>
      <c r="D66" s="7"/>
      <c r="E66" s="7"/>
      <c r="F66" s="7"/>
      <c r="G66" s="7"/>
      <c r="H66" s="7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AA66" t="s">
        <v>1513</v>
      </c>
      <c r="AB66" s="1" t="s">
        <v>3</v>
      </c>
      <c r="AC66" s="1" t="s">
        <v>8</v>
      </c>
      <c r="AD66" s="1" t="s">
        <v>11</v>
      </c>
      <c r="AE66" s="1" t="s">
        <v>0</v>
      </c>
      <c r="AF66" s="1" t="s">
        <v>1</v>
      </c>
      <c r="AG66">
        <f t="shared" si="0"/>
        <v>0</v>
      </c>
      <c r="AJ66">
        <v>651</v>
      </c>
      <c r="AK66" t="e">
        <f>IFERROR(AVERAGE(INDEX(Z:Z,AJ66,1):INDEX(Z:Z,AJ66+9,1)),NA())</f>
        <v>#N/A</v>
      </c>
      <c r="AL66" s="32" t="str">
        <f t="shared" si="1"/>
        <v>-</v>
      </c>
    </row>
    <row r="67" spans="2:38" x14ac:dyDescent="0.25">
      <c r="B67" s="6"/>
      <c r="C67" s="6"/>
      <c r="D67" s="7"/>
      <c r="E67" s="7"/>
      <c r="F67" s="7"/>
      <c r="G67" s="7"/>
      <c r="H67" s="7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AA67" t="s">
        <v>631</v>
      </c>
      <c r="AB67" s="1" t="s">
        <v>1920</v>
      </c>
      <c r="AC67" s="1" t="s">
        <v>11</v>
      </c>
      <c r="AD67" s="1" t="s">
        <v>6</v>
      </c>
      <c r="AE67" s="1" t="s">
        <v>5</v>
      </c>
      <c r="AF67" s="1" t="s">
        <v>7</v>
      </c>
      <c r="AG67">
        <f t="shared" ref="AG67:AG130" si="25">IF(AND(Z67&gt;0,Z67&lt;7),AG66+1,0)</f>
        <v>0</v>
      </c>
      <c r="AJ67">
        <v>661</v>
      </c>
      <c r="AK67" t="e">
        <f>IFERROR(AVERAGE(INDEX(Z:Z,AJ67,1):INDEX(Z:Z,AJ67+9,1)),NA())</f>
        <v>#N/A</v>
      </c>
      <c r="AL67" s="32" t="str">
        <f t="shared" ref="AL67:AL130" si="26">AL66</f>
        <v>-</v>
      </c>
    </row>
    <row r="68" spans="2:38" x14ac:dyDescent="0.25">
      <c r="B68" s="6"/>
      <c r="C68" s="6"/>
      <c r="D68" s="7"/>
      <c r="E68" s="7"/>
      <c r="F68" s="7"/>
      <c r="G68" s="7"/>
      <c r="H68" s="7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AA68" t="s">
        <v>1827</v>
      </c>
      <c r="AB68" s="1" t="s">
        <v>1919</v>
      </c>
      <c r="AC68" s="1" t="s">
        <v>11</v>
      </c>
      <c r="AD68" s="1" t="s">
        <v>7</v>
      </c>
      <c r="AE68" s="1" t="s">
        <v>5</v>
      </c>
      <c r="AF68" s="1" t="s">
        <v>12</v>
      </c>
      <c r="AG68">
        <f t="shared" si="25"/>
        <v>0</v>
      </c>
      <c r="AJ68">
        <v>671</v>
      </c>
      <c r="AK68" t="e">
        <f>IFERROR(AVERAGE(INDEX(Z:Z,AJ68,1):INDEX(Z:Z,AJ68+9,1)),NA())</f>
        <v>#N/A</v>
      </c>
      <c r="AL68" s="32" t="str">
        <f t="shared" si="26"/>
        <v>-</v>
      </c>
    </row>
    <row r="69" spans="2:38" x14ac:dyDescent="0.25">
      <c r="B69" s="6"/>
      <c r="C69" s="6"/>
      <c r="D69" s="7"/>
      <c r="E69" s="7"/>
      <c r="F69" s="7"/>
      <c r="G69" s="7"/>
      <c r="H69" s="7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AA69" t="s">
        <v>1047</v>
      </c>
      <c r="AB69" s="1" t="s">
        <v>13</v>
      </c>
      <c r="AC69" s="1" t="s">
        <v>11</v>
      </c>
      <c r="AD69" s="1" t="s">
        <v>0</v>
      </c>
      <c r="AE69" s="1" t="s">
        <v>11</v>
      </c>
      <c r="AF69" s="1" t="s">
        <v>3</v>
      </c>
      <c r="AG69">
        <f t="shared" si="25"/>
        <v>0</v>
      </c>
      <c r="AJ69">
        <v>681</v>
      </c>
      <c r="AK69" t="e">
        <f>IFERROR(AVERAGE(INDEX(Z:Z,AJ69,1):INDEX(Z:Z,AJ69+9,1)),NA())</f>
        <v>#N/A</v>
      </c>
      <c r="AL69" s="32" t="str">
        <f t="shared" si="26"/>
        <v>-</v>
      </c>
    </row>
    <row r="70" spans="2:38" x14ac:dyDescent="0.25">
      <c r="B70" s="6"/>
      <c r="C70" s="6"/>
      <c r="D70" s="7"/>
      <c r="E70" s="7"/>
      <c r="F70" s="7"/>
      <c r="G70" s="7"/>
      <c r="H70" s="7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AA70" t="s">
        <v>1740</v>
      </c>
      <c r="AB70" s="1" t="s">
        <v>4</v>
      </c>
      <c r="AC70" s="1" t="s">
        <v>5</v>
      </c>
      <c r="AD70" s="1" t="s">
        <v>3</v>
      </c>
      <c r="AE70" s="1" t="s">
        <v>9</v>
      </c>
      <c r="AF70" s="1" t="s">
        <v>11</v>
      </c>
      <c r="AG70">
        <f t="shared" si="25"/>
        <v>0</v>
      </c>
      <c r="AJ70">
        <v>691</v>
      </c>
      <c r="AK70" t="e">
        <f>IFERROR(AVERAGE(INDEX(Z:Z,AJ70,1):INDEX(Z:Z,AJ70+9,1)),NA())</f>
        <v>#N/A</v>
      </c>
      <c r="AL70" s="32" t="str">
        <f t="shared" si="26"/>
        <v>-</v>
      </c>
    </row>
    <row r="71" spans="2:38" x14ac:dyDescent="0.25">
      <c r="B71" s="6"/>
      <c r="C71" s="6"/>
      <c r="D71" s="7"/>
      <c r="E71" s="7"/>
      <c r="F71" s="7"/>
      <c r="G71" s="7"/>
      <c r="H71" s="7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AA71" t="s">
        <v>96</v>
      </c>
      <c r="AB71" s="1" t="s">
        <v>1</v>
      </c>
      <c r="AC71" s="1" t="s">
        <v>6</v>
      </c>
      <c r="AD71" s="1" t="s">
        <v>8</v>
      </c>
      <c r="AE71" s="1" t="s">
        <v>1</v>
      </c>
      <c r="AF71" s="1" t="s">
        <v>7</v>
      </c>
      <c r="AG71">
        <f t="shared" si="25"/>
        <v>0</v>
      </c>
      <c r="AJ71">
        <v>701</v>
      </c>
      <c r="AK71" t="e">
        <f>IFERROR(AVERAGE(INDEX(Z:Z,AJ71,1):INDEX(Z:Z,AJ71+9,1)),NA())</f>
        <v>#N/A</v>
      </c>
      <c r="AL71" s="32" t="str">
        <f t="shared" si="26"/>
        <v>-</v>
      </c>
    </row>
    <row r="72" spans="2:38" x14ac:dyDescent="0.25">
      <c r="B72" s="6"/>
      <c r="C72" s="6"/>
      <c r="D72" s="7"/>
      <c r="E72" s="7"/>
      <c r="F72" s="7"/>
      <c r="G72" s="7"/>
      <c r="H72" s="7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AA72" t="s">
        <v>544</v>
      </c>
      <c r="AB72" s="1" t="s">
        <v>1915</v>
      </c>
      <c r="AC72" s="1" t="s">
        <v>5</v>
      </c>
      <c r="AD72" s="1" t="s">
        <v>7</v>
      </c>
      <c r="AE72" s="1" t="s">
        <v>11</v>
      </c>
      <c r="AF72" s="1" t="s">
        <v>3</v>
      </c>
      <c r="AG72">
        <f t="shared" si="25"/>
        <v>0</v>
      </c>
      <c r="AJ72">
        <v>711</v>
      </c>
      <c r="AK72" t="e">
        <f>IFERROR(AVERAGE(INDEX(Z:Z,AJ72,1):INDEX(Z:Z,AJ72+9,1)),NA())</f>
        <v>#N/A</v>
      </c>
      <c r="AL72" s="32" t="str">
        <f t="shared" si="26"/>
        <v>-</v>
      </c>
    </row>
    <row r="73" spans="2:38" x14ac:dyDescent="0.25">
      <c r="B73" s="6"/>
      <c r="C73" s="6"/>
      <c r="D73" s="7"/>
      <c r="E73" s="7"/>
      <c r="F73" s="7"/>
      <c r="G73" s="7"/>
      <c r="H73" s="7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AA73" t="s">
        <v>1016</v>
      </c>
      <c r="AB73" s="1" t="s">
        <v>13</v>
      </c>
      <c r="AC73" s="1" t="s">
        <v>1</v>
      </c>
      <c r="AD73" s="1" t="s">
        <v>13</v>
      </c>
      <c r="AE73" s="1" t="s">
        <v>1</v>
      </c>
      <c r="AF73" s="1" t="s">
        <v>3</v>
      </c>
      <c r="AG73">
        <f t="shared" si="25"/>
        <v>0</v>
      </c>
      <c r="AJ73">
        <v>721</v>
      </c>
      <c r="AK73" t="e">
        <f>IFERROR(AVERAGE(INDEX(Z:Z,AJ73,1):INDEX(Z:Z,AJ73+9,1)),NA())</f>
        <v>#N/A</v>
      </c>
      <c r="AL73" s="32" t="str">
        <f t="shared" si="26"/>
        <v>-</v>
      </c>
    </row>
    <row r="74" spans="2:38" hidden="1" x14ac:dyDescent="0.25">
      <c r="B74" s="6"/>
      <c r="C74" s="6"/>
      <c r="D74" s="7"/>
      <c r="E74" s="7"/>
      <c r="F74" s="7"/>
      <c r="G74" s="7"/>
      <c r="H74" s="7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AA74" t="s">
        <v>827</v>
      </c>
      <c r="AB74" s="1" t="s">
        <v>1917</v>
      </c>
      <c r="AC74" s="1" t="s">
        <v>10</v>
      </c>
      <c r="AD74" s="1" t="s">
        <v>9</v>
      </c>
      <c r="AE74" s="1" t="s">
        <v>9</v>
      </c>
      <c r="AF74" s="1" t="s">
        <v>1918</v>
      </c>
      <c r="AG74">
        <f t="shared" si="25"/>
        <v>0</v>
      </c>
      <c r="AJ74">
        <v>731</v>
      </c>
      <c r="AK74" t="e">
        <f>IFERROR(AVERAGE(INDEX(Z:Z,AJ74,1):INDEX(Z:Z,AJ74+9,1)),NA())</f>
        <v>#N/A</v>
      </c>
      <c r="AL74" s="32" t="str">
        <f t="shared" si="26"/>
        <v>-</v>
      </c>
    </row>
    <row r="75" spans="2:38" hidden="1" x14ac:dyDescent="0.25">
      <c r="AA75" t="s">
        <v>453</v>
      </c>
      <c r="AB75" s="1" t="s">
        <v>0</v>
      </c>
      <c r="AC75" s="1" t="s">
        <v>5</v>
      </c>
      <c r="AD75" s="1" t="s">
        <v>3</v>
      </c>
      <c r="AE75" s="1" t="s">
        <v>3</v>
      </c>
      <c r="AF75" s="1" t="s">
        <v>5</v>
      </c>
      <c r="AG75">
        <f t="shared" si="25"/>
        <v>0</v>
      </c>
      <c r="AJ75">
        <v>741</v>
      </c>
      <c r="AK75" t="e">
        <f>IFERROR(AVERAGE(INDEX(Z:Z,AJ75,1):INDEX(Z:Z,AJ75+9,1)),NA())</f>
        <v>#N/A</v>
      </c>
      <c r="AL75" s="32" t="str">
        <f t="shared" si="26"/>
        <v>-</v>
      </c>
    </row>
    <row r="76" spans="2:38" hidden="1" x14ac:dyDescent="0.25">
      <c r="AA76" t="s">
        <v>1343</v>
      </c>
      <c r="AB76" s="1" t="s">
        <v>9</v>
      </c>
      <c r="AC76" s="1" t="s">
        <v>10</v>
      </c>
      <c r="AD76" s="1" t="s">
        <v>12</v>
      </c>
      <c r="AE76" s="1" t="s">
        <v>0</v>
      </c>
      <c r="AF76" s="1" t="s">
        <v>1</v>
      </c>
      <c r="AG76">
        <f t="shared" si="25"/>
        <v>0</v>
      </c>
      <c r="AJ76">
        <v>751</v>
      </c>
      <c r="AK76" t="e">
        <f>IFERROR(AVERAGE(INDEX(Z:Z,AJ76,1):INDEX(Z:Z,AJ76+9,1)),NA())</f>
        <v>#N/A</v>
      </c>
      <c r="AL76" s="32" t="str">
        <f t="shared" si="26"/>
        <v>-</v>
      </c>
    </row>
    <row r="77" spans="2:38" hidden="1" x14ac:dyDescent="0.25">
      <c r="AA77" t="s">
        <v>2102</v>
      </c>
      <c r="AB77" s="1" t="s">
        <v>1914</v>
      </c>
      <c r="AC77" s="1" t="s">
        <v>8</v>
      </c>
      <c r="AD77" s="1" t="s">
        <v>15</v>
      </c>
      <c r="AE77" s="1" t="s">
        <v>10</v>
      </c>
      <c r="AF77" s="1" t="s">
        <v>1</v>
      </c>
      <c r="AG77">
        <f t="shared" si="25"/>
        <v>0</v>
      </c>
      <c r="AJ77">
        <v>761</v>
      </c>
      <c r="AK77" t="e">
        <f>IFERROR(AVERAGE(INDEX(Z:Z,AJ77,1):INDEX(Z:Z,AJ77+9,1)),NA())</f>
        <v>#N/A</v>
      </c>
      <c r="AL77" s="32" t="str">
        <f t="shared" si="26"/>
        <v>-</v>
      </c>
    </row>
    <row r="78" spans="2:38" hidden="1" x14ac:dyDescent="0.25">
      <c r="AA78" t="s">
        <v>434</v>
      </c>
      <c r="AB78" s="1" t="s">
        <v>0</v>
      </c>
      <c r="AC78" s="1" t="s">
        <v>5</v>
      </c>
      <c r="AD78" s="1" t="s">
        <v>1920</v>
      </c>
      <c r="AE78" s="1" t="s">
        <v>10</v>
      </c>
      <c r="AF78" s="1" t="s">
        <v>1</v>
      </c>
      <c r="AG78">
        <f t="shared" si="25"/>
        <v>0</v>
      </c>
      <c r="AJ78">
        <v>771</v>
      </c>
      <c r="AK78" t="e">
        <f>IFERROR(AVERAGE(INDEX(Z:Z,AJ78,1):INDEX(Z:Z,AJ78+9,1)),NA())</f>
        <v>#N/A</v>
      </c>
      <c r="AL78" s="32" t="str">
        <f t="shared" si="26"/>
        <v>-</v>
      </c>
    </row>
    <row r="79" spans="2:38" hidden="1" x14ac:dyDescent="0.25">
      <c r="AA79" t="s">
        <v>438</v>
      </c>
      <c r="AB79" s="1" t="s">
        <v>0</v>
      </c>
      <c r="AC79" s="1" t="s">
        <v>5</v>
      </c>
      <c r="AD79" s="1" t="s">
        <v>7</v>
      </c>
      <c r="AE79" s="1" t="s">
        <v>1</v>
      </c>
      <c r="AF79" s="1" t="s">
        <v>3</v>
      </c>
      <c r="AG79">
        <f t="shared" si="25"/>
        <v>0</v>
      </c>
      <c r="AJ79">
        <v>781</v>
      </c>
      <c r="AK79" t="e">
        <f>IFERROR(AVERAGE(INDEX(Z:Z,AJ79,1):INDEX(Z:Z,AJ79+9,1)),NA())</f>
        <v>#N/A</v>
      </c>
      <c r="AL79" s="32" t="str">
        <f t="shared" si="26"/>
        <v>-</v>
      </c>
    </row>
    <row r="80" spans="2:38" hidden="1" x14ac:dyDescent="0.25">
      <c r="AA80" t="s">
        <v>1215</v>
      </c>
      <c r="AB80" s="1" t="s">
        <v>5</v>
      </c>
      <c r="AC80" s="1" t="s">
        <v>7</v>
      </c>
      <c r="AD80" s="1" t="s">
        <v>10</v>
      </c>
      <c r="AE80" s="1" t="s">
        <v>1919</v>
      </c>
      <c r="AF80" s="1" t="s">
        <v>1</v>
      </c>
      <c r="AG80">
        <f t="shared" si="25"/>
        <v>0</v>
      </c>
      <c r="AJ80">
        <v>791</v>
      </c>
      <c r="AK80" t="e">
        <f>IFERROR(AVERAGE(INDEX(Z:Z,AJ80,1):INDEX(Z:Z,AJ80+9,1)),NA())</f>
        <v>#N/A</v>
      </c>
      <c r="AL80" s="32" t="str">
        <f t="shared" si="26"/>
        <v>-</v>
      </c>
    </row>
    <row r="81" spans="27:38" hidden="1" x14ac:dyDescent="0.25">
      <c r="AA81" t="s">
        <v>1349</v>
      </c>
      <c r="AB81" s="1" t="s">
        <v>9</v>
      </c>
      <c r="AC81" s="1" t="s">
        <v>7</v>
      </c>
      <c r="AD81" s="1" t="s">
        <v>1</v>
      </c>
      <c r="AE81" s="1" t="s">
        <v>4</v>
      </c>
      <c r="AF81" s="1" t="s">
        <v>1</v>
      </c>
      <c r="AG81">
        <f t="shared" si="25"/>
        <v>0</v>
      </c>
      <c r="AJ81">
        <v>801</v>
      </c>
      <c r="AK81" t="e">
        <f>IFERROR(AVERAGE(INDEX(Z:Z,AJ81,1):INDEX(Z:Z,AJ81+9,1)),NA())</f>
        <v>#N/A</v>
      </c>
      <c r="AL81" s="32" t="str">
        <f t="shared" si="26"/>
        <v>-</v>
      </c>
    </row>
    <row r="82" spans="27:38" hidden="1" x14ac:dyDescent="0.25">
      <c r="AA82" t="s">
        <v>166</v>
      </c>
      <c r="AB82" s="1" t="s">
        <v>1914</v>
      </c>
      <c r="AC82" s="1" t="s">
        <v>1</v>
      </c>
      <c r="AD82" s="1" t="s">
        <v>7</v>
      </c>
      <c r="AE82" s="1" t="s">
        <v>2</v>
      </c>
      <c r="AF82" s="1" t="s">
        <v>1</v>
      </c>
      <c r="AG82">
        <f t="shared" si="25"/>
        <v>0</v>
      </c>
      <c r="AJ82">
        <v>811</v>
      </c>
      <c r="AK82" t="e">
        <f>IFERROR(AVERAGE(INDEX(Z:Z,AJ82,1):INDEX(Z:Z,AJ82+9,1)),NA())</f>
        <v>#N/A</v>
      </c>
      <c r="AL82" s="32" t="str">
        <f t="shared" si="26"/>
        <v>-</v>
      </c>
    </row>
    <row r="83" spans="27:38" hidden="1" x14ac:dyDescent="0.25">
      <c r="AA83" t="s">
        <v>1049</v>
      </c>
      <c r="AB83" s="1" t="s">
        <v>13</v>
      </c>
      <c r="AC83" s="1" t="s">
        <v>11</v>
      </c>
      <c r="AD83" s="1" t="s">
        <v>1915</v>
      </c>
      <c r="AE83" s="1" t="s">
        <v>10</v>
      </c>
      <c r="AF83" s="1" t="s">
        <v>1</v>
      </c>
      <c r="AG83">
        <f t="shared" si="25"/>
        <v>0</v>
      </c>
      <c r="AJ83">
        <v>821</v>
      </c>
      <c r="AK83" t="e">
        <f>IFERROR(AVERAGE(INDEX(Z:Z,AJ83,1):INDEX(Z:Z,AJ83+9,1)),NA())</f>
        <v>#N/A</v>
      </c>
      <c r="AL83" s="32" t="str">
        <f t="shared" si="26"/>
        <v>-</v>
      </c>
    </row>
    <row r="84" spans="27:38" hidden="1" x14ac:dyDescent="0.25">
      <c r="AA84" t="s">
        <v>933</v>
      </c>
      <c r="AB84" s="1" t="s">
        <v>7</v>
      </c>
      <c r="AC84" s="1" t="s">
        <v>1</v>
      </c>
      <c r="AD84" s="1" t="s">
        <v>1919</v>
      </c>
      <c r="AE84" s="1" t="s">
        <v>1</v>
      </c>
      <c r="AF84" s="1" t="s">
        <v>3</v>
      </c>
      <c r="AG84">
        <f t="shared" si="25"/>
        <v>0</v>
      </c>
      <c r="AJ84">
        <v>831</v>
      </c>
      <c r="AK84" t="e">
        <f>IFERROR(AVERAGE(INDEX(Z:Z,AJ84,1):INDEX(Z:Z,AJ84+9,1)),NA())</f>
        <v>#N/A</v>
      </c>
      <c r="AL84" s="32" t="str">
        <f t="shared" si="26"/>
        <v>-</v>
      </c>
    </row>
    <row r="85" spans="27:38" hidden="1" x14ac:dyDescent="0.25">
      <c r="AA85" t="s">
        <v>137</v>
      </c>
      <c r="AB85" s="1" t="s">
        <v>1</v>
      </c>
      <c r="AC85" s="1" t="s">
        <v>4</v>
      </c>
      <c r="AD85" s="1" t="s">
        <v>3</v>
      </c>
      <c r="AE85" s="1" t="s">
        <v>5</v>
      </c>
      <c r="AF85" s="1" t="s">
        <v>12</v>
      </c>
      <c r="AG85">
        <f t="shared" si="25"/>
        <v>0</v>
      </c>
      <c r="AJ85">
        <v>841</v>
      </c>
      <c r="AK85" t="e">
        <f>IFERROR(AVERAGE(INDEX(Z:Z,AJ85,1):INDEX(Z:Z,AJ85+9,1)),NA())</f>
        <v>#N/A</v>
      </c>
      <c r="AL85" s="32" t="str">
        <f t="shared" si="26"/>
        <v>-</v>
      </c>
    </row>
    <row r="86" spans="27:38" hidden="1" x14ac:dyDescent="0.25">
      <c r="AA86" t="s">
        <v>19</v>
      </c>
      <c r="AB86" s="1" t="s">
        <v>1</v>
      </c>
      <c r="AC86" s="1" t="s">
        <v>1914</v>
      </c>
      <c r="AD86" s="1" t="s">
        <v>11</v>
      </c>
      <c r="AE86" s="1" t="s">
        <v>15</v>
      </c>
      <c r="AF86" s="1" t="s">
        <v>1</v>
      </c>
      <c r="AG86">
        <f t="shared" si="25"/>
        <v>0</v>
      </c>
      <c r="AJ86">
        <v>851</v>
      </c>
      <c r="AK86" t="e">
        <f>IFERROR(AVERAGE(INDEX(Z:Z,AJ86,1):INDEX(Z:Z,AJ86+9,1)),NA())</f>
        <v>#N/A</v>
      </c>
      <c r="AL86" s="32" t="str">
        <f t="shared" si="26"/>
        <v>-</v>
      </c>
    </row>
    <row r="87" spans="27:38" hidden="1" x14ac:dyDescent="0.25">
      <c r="AA87" t="s">
        <v>228</v>
      </c>
      <c r="AB87" s="1" t="s">
        <v>1914</v>
      </c>
      <c r="AC87" s="1" t="s">
        <v>5</v>
      </c>
      <c r="AD87" s="1" t="s">
        <v>7</v>
      </c>
      <c r="AE87" s="1" t="s">
        <v>2</v>
      </c>
      <c r="AF87" s="1" t="s">
        <v>5</v>
      </c>
      <c r="AG87">
        <f t="shared" si="25"/>
        <v>0</v>
      </c>
      <c r="AJ87">
        <v>861</v>
      </c>
      <c r="AK87" t="e">
        <f>IFERROR(AVERAGE(INDEX(Z:Z,AJ87,1):INDEX(Z:Z,AJ87+9,1)),NA())</f>
        <v>#N/A</v>
      </c>
      <c r="AL87" s="32" t="str">
        <f t="shared" si="26"/>
        <v>-</v>
      </c>
    </row>
    <row r="88" spans="27:38" hidden="1" x14ac:dyDescent="0.25">
      <c r="AA88" t="s">
        <v>1394</v>
      </c>
      <c r="AB88" s="1" t="s">
        <v>9</v>
      </c>
      <c r="AC88" s="1" t="s">
        <v>3</v>
      </c>
      <c r="AD88" s="1" t="s">
        <v>10</v>
      </c>
      <c r="AE88" s="1" t="s">
        <v>5</v>
      </c>
      <c r="AF88" s="1" t="s">
        <v>3</v>
      </c>
      <c r="AG88">
        <f t="shared" si="25"/>
        <v>0</v>
      </c>
      <c r="AJ88">
        <v>871</v>
      </c>
      <c r="AK88" t="e">
        <f>IFERROR(AVERAGE(INDEX(Z:Z,AJ88,1):INDEX(Z:Z,AJ88+9,1)),NA())</f>
        <v>#N/A</v>
      </c>
      <c r="AL88" s="32" t="str">
        <f t="shared" si="26"/>
        <v>-</v>
      </c>
    </row>
    <row r="89" spans="27:38" hidden="1" x14ac:dyDescent="0.25">
      <c r="AA89" t="s">
        <v>813</v>
      </c>
      <c r="AB89" s="1" t="s">
        <v>1917</v>
      </c>
      <c r="AC89" s="1" t="s">
        <v>11</v>
      </c>
      <c r="AD89" s="1" t="s">
        <v>1915</v>
      </c>
      <c r="AE89" s="1" t="s">
        <v>5</v>
      </c>
      <c r="AF89" s="1" t="s">
        <v>3</v>
      </c>
      <c r="AG89">
        <f t="shared" si="25"/>
        <v>0</v>
      </c>
      <c r="AJ89">
        <v>881</v>
      </c>
      <c r="AK89" t="e">
        <f>IFERROR(AVERAGE(INDEX(Z:Z,AJ89,1):INDEX(Z:Z,AJ89+9,1)),NA())</f>
        <v>#N/A</v>
      </c>
      <c r="AL89" s="32" t="str">
        <f t="shared" si="26"/>
        <v>-</v>
      </c>
    </row>
    <row r="90" spans="27:38" hidden="1" x14ac:dyDescent="0.25">
      <c r="AA90" t="s">
        <v>2234</v>
      </c>
      <c r="AB90" s="1" t="s">
        <v>4</v>
      </c>
      <c r="AC90" s="1" t="s">
        <v>10</v>
      </c>
      <c r="AD90" s="1" t="s">
        <v>1920</v>
      </c>
      <c r="AE90" s="1" t="s">
        <v>5</v>
      </c>
      <c r="AF90" s="1" t="s">
        <v>6</v>
      </c>
      <c r="AG90">
        <f t="shared" si="25"/>
        <v>0</v>
      </c>
      <c r="AJ90">
        <v>891</v>
      </c>
      <c r="AK90" t="e">
        <f>IFERROR(AVERAGE(INDEX(Z:Z,AJ90,1):INDEX(Z:Z,AJ90+9,1)),NA())</f>
        <v>#N/A</v>
      </c>
      <c r="AL90" s="32" t="str">
        <f t="shared" si="26"/>
        <v>-</v>
      </c>
    </row>
    <row r="91" spans="27:38" hidden="1" x14ac:dyDescent="0.25">
      <c r="AA91" t="s">
        <v>70</v>
      </c>
      <c r="AB91" s="1" t="s">
        <v>1</v>
      </c>
      <c r="AC91" s="1" t="s">
        <v>13</v>
      </c>
      <c r="AD91" s="1" t="s">
        <v>1</v>
      </c>
      <c r="AE91" s="1" t="s">
        <v>1916</v>
      </c>
      <c r="AF91" s="1" t="s">
        <v>5</v>
      </c>
      <c r="AG91">
        <f t="shared" si="25"/>
        <v>0</v>
      </c>
      <c r="AJ91">
        <v>901</v>
      </c>
      <c r="AK91" t="e">
        <f>IFERROR(AVERAGE(INDEX(Z:Z,AJ91,1):INDEX(Z:Z,AJ91+9,1)),NA())</f>
        <v>#N/A</v>
      </c>
      <c r="AL91" s="32" t="str">
        <f t="shared" si="26"/>
        <v>-</v>
      </c>
    </row>
    <row r="92" spans="27:38" hidden="1" x14ac:dyDescent="0.25">
      <c r="AA92" t="s">
        <v>518</v>
      </c>
      <c r="AB92" s="1" t="s">
        <v>1915</v>
      </c>
      <c r="AC92" s="1" t="s">
        <v>11</v>
      </c>
      <c r="AD92" s="1" t="s">
        <v>11</v>
      </c>
      <c r="AE92" s="1" t="s">
        <v>2</v>
      </c>
      <c r="AF92" s="1" t="s">
        <v>1</v>
      </c>
      <c r="AG92">
        <f t="shared" si="25"/>
        <v>0</v>
      </c>
      <c r="AJ92">
        <v>911</v>
      </c>
      <c r="AK92" t="e">
        <f>IFERROR(AVERAGE(INDEX(Z:Z,AJ92,1):INDEX(Z:Z,AJ92+9,1)),NA())</f>
        <v>#N/A</v>
      </c>
      <c r="AL92" s="32" t="str">
        <f t="shared" si="26"/>
        <v>-</v>
      </c>
    </row>
    <row r="93" spans="27:38" hidden="1" x14ac:dyDescent="0.25">
      <c r="AA93" t="s">
        <v>1412</v>
      </c>
      <c r="AB93" s="1" t="s">
        <v>9</v>
      </c>
      <c r="AC93" s="1" t="s">
        <v>8</v>
      </c>
      <c r="AD93" s="1" t="s">
        <v>6</v>
      </c>
      <c r="AE93" s="1" t="s">
        <v>14</v>
      </c>
      <c r="AF93" s="1" t="s">
        <v>10</v>
      </c>
      <c r="AG93">
        <f t="shared" si="25"/>
        <v>0</v>
      </c>
      <c r="AJ93">
        <v>921</v>
      </c>
      <c r="AK93" t="e">
        <f>IFERROR(AVERAGE(INDEX(Z:Z,AJ93,1):INDEX(Z:Z,AJ93+9,1)),NA())</f>
        <v>#N/A</v>
      </c>
      <c r="AL93" s="32" t="str">
        <f t="shared" si="26"/>
        <v>-</v>
      </c>
    </row>
    <row r="94" spans="27:38" hidden="1" x14ac:dyDescent="0.25">
      <c r="AA94" t="s">
        <v>1498</v>
      </c>
      <c r="AB94" s="1" t="s">
        <v>3</v>
      </c>
      <c r="AC94" s="1" t="s">
        <v>5</v>
      </c>
      <c r="AD94" s="1" t="s">
        <v>13</v>
      </c>
      <c r="AE94" s="1" t="s">
        <v>1914</v>
      </c>
      <c r="AF94" s="1" t="s">
        <v>5</v>
      </c>
      <c r="AG94">
        <f t="shared" si="25"/>
        <v>0</v>
      </c>
      <c r="AJ94">
        <v>931</v>
      </c>
      <c r="AK94" t="e">
        <f>IFERROR(AVERAGE(INDEX(Z:Z,AJ94,1):INDEX(Z:Z,AJ94+9,1)),NA())</f>
        <v>#N/A</v>
      </c>
      <c r="AL94" s="32" t="str">
        <f t="shared" si="26"/>
        <v>-</v>
      </c>
    </row>
    <row r="95" spans="27:38" hidden="1" x14ac:dyDescent="0.25">
      <c r="AA95" t="s">
        <v>197</v>
      </c>
      <c r="AB95" s="1" t="s">
        <v>1914</v>
      </c>
      <c r="AC95" s="1" t="s">
        <v>11</v>
      </c>
      <c r="AD95" s="1" t="s">
        <v>7</v>
      </c>
      <c r="AE95" s="1" t="s">
        <v>1921</v>
      </c>
      <c r="AF95" s="1" t="s">
        <v>1</v>
      </c>
      <c r="AG95">
        <f t="shared" si="25"/>
        <v>0</v>
      </c>
      <c r="AJ95">
        <v>941</v>
      </c>
      <c r="AK95" t="e">
        <f>IFERROR(AVERAGE(INDEX(Z:Z,AJ95,1):INDEX(Z:Z,AJ95+9,1)),NA())</f>
        <v>#N/A</v>
      </c>
      <c r="AL95" s="32" t="str">
        <f t="shared" si="26"/>
        <v>-</v>
      </c>
    </row>
    <row r="96" spans="27:38" hidden="1" x14ac:dyDescent="0.25">
      <c r="AA96" t="s">
        <v>1954</v>
      </c>
      <c r="AB96" s="1" t="s">
        <v>0</v>
      </c>
      <c r="AC96" s="1" t="s">
        <v>5</v>
      </c>
      <c r="AD96" s="1" t="s">
        <v>7</v>
      </c>
      <c r="AE96" s="1" t="s">
        <v>11</v>
      </c>
      <c r="AF96" s="1" t="s">
        <v>2</v>
      </c>
      <c r="AG96">
        <f t="shared" si="25"/>
        <v>0</v>
      </c>
      <c r="AJ96">
        <v>951</v>
      </c>
      <c r="AK96" t="e">
        <f>IFERROR(AVERAGE(INDEX(Z:Z,AJ96,1):INDEX(Z:Z,AJ96+9,1)),NA())</f>
        <v>#N/A</v>
      </c>
      <c r="AL96" s="32" t="str">
        <f t="shared" si="26"/>
        <v>-</v>
      </c>
    </row>
    <row r="97" spans="27:38" hidden="1" x14ac:dyDescent="0.25">
      <c r="AA97" t="s">
        <v>1101</v>
      </c>
      <c r="AB97" s="1" t="s">
        <v>13</v>
      </c>
      <c r="AC97" s="1" t="s">
        <v>5</v>
      </c>
      <c r="AD97" s="1" t="s">
        <v>7</v>
      </c>
      <c r="AE97" s="1" t="s">
        <v>11</v>
      </c>
      <c r="AF97" s="1" t="s">
        <v>3</v>
      </c>
      <c r="AG97">
        <f t="shared" si="25"/>
        <v>0</v>
      </c>
      <c r="AJ97">
        <v>961</v>
      </c>
      <c r="AK97" t="e">
        <f>IFERROR(AVERAGE(INDEX(Z:Z,AJ97,1):INDEX(Z:Z,AJ97+9,1)),NA())</f>
        <v>#N/A</v>
      </c>
      <c r="AL97" s="32" t="str">
        <f t="shared" si="26"/>
        <v>-</v>
      </c>
    </row>
    <row r="98" spans="27:38" hidden="1" x14ac:dyDescent="0.25">
      <c r="AA98" t="s">
        <v>2056</v>
      </c>
      <c r="AB98" s="1" t="s">
        <v>9</v>
      </c>
      <c r="AC98" s="1" t="s">
        <v>1</v>
      </c>
      <c r="AD98" s="1" t="s">
        <v>3</v>
      </c>
      <c r="AE98" s="1" t="s">
        <v>6</v>
      </c>
      <c r="AF98" s="1" t="s">
        <v>11</v>
      </c>
      <c r="AG98">
        <f t="shared" si="25"/>
        <v>0</v>
      </c>
      <c r="AJ98">
        <v>971</v>
      </c>
      <c r="AK98" t="e">
        <f>IFERROR(AVERAGE(INDEX(Z:Z,AJ98,1):INDEX(Z:Z,AJ98+9,1)),NA())</f>
        <v>#N/A</v>
      </c>
      <c r="AL98" s="32" t="str">
        <f t="shared" si="26"/>
        <v>-</v>
      </c>
    </row>
    <row r="99" spans="27:38" hidden="1" x14ac:dyDescent="0.25">
      <c r="AA99" t="s">
        <v>172</v>
      </c>
      <c r="AB99" s="1" t="s">
        <v>1914</v>
      </c>
      <c r="AC99" s="1" t="s">
        <v>1</v>
      </c>
      <c r="AD99" s="1" t="s">
        <v>6</v>
      </c>
      <c r="AE99" s="1" t="s">
        <v>1915</v>
      </c>
      <c r="AF99" s="1" t="s">
        <v>1</v>
      </c>
      <c r="AG99">
        <f t="shared" si="25"/>
        <v>0</v>
      </c>
      <c r="AJ99">
        <v>981</v>
      </c>
      <c r="AK99" t="e">
        <f>IFERROR(AVERAGE(INDEX(Z:Z,AJ99,1):INDEX(Z:Z,AJ99+9,1)),NA())</f>
        <v>#N/A</v>
      </c>
      <c r="AL99" s="32" t="str">
        <f t="shared" si="26"/>
        <v>-</v>
      </c>
    </row>
    <row r="100" spans="27:38" hidden="1" x14ac:dyDescent="0.25">
      <c r="AA100" t="s">
        <v>1105</v>
      </c>
      <c r="AB100" s="1" t="s">
        <v>13</v>
      </c>
      <c r="AC100" s="1" t="s">
        <v>5</v>
      </c>
      <c r="AD100" s="1" t="s">
        <v>6</v>
      </c>
      <c r="AE100" s="1" t="s">
        <v>15</v>
      </c>
      <c r="AF100" s="1" t="s">
        <v>1</v>
      </c>
      <c r="AG100">
        <f t="shared" si="25"/>
        <v>0</v>
      </c>
      <c r="AJ100">
        <v>991</v>
      </c>
      <c r="AK100" t="e">
        <f>IFERROR(AVERAGE(INDEX(Z:Z,AJ100,1):INDEX(Z:Z,AJ100+9,1)),NA())</f>
        <v>#N/A</v>
      </c>
      <c r="AL100" s="32" t="str">
        <f t="shared" si="26"/>
        <v>-</v>
      </c>
    </row>
    <row r="101" spans="27:38" hidden="1" x14ac:dyDescent="0.25">
      <c r="AA101" t="s">
        <v>1665</v>
      </c>
      <c r="AB101" s="1" t="s">
        <v>4</v>
      </c>
      <c r="AC101" s="1" t="s">
        <v>1</v>
      </c>
      <c r="AD101" s="1" t="s">
        <v>9</v>
      </c>
      <c r="AE101" s="1" t="s">
        <v>10</v>
      </c>
      <c r="AF101" s="1" t="s">
        <v>12</v>
      </c>
      <c r="AG101">
        <f t="shared" si="25"/>
        <v>0</v>
      </c>
      <c r="AJ101">
        <v>1001</v>
      </c>
      <c r="AK101" t="e">
        <f>IFERROR(AVERAGE(INDEX(Z:Z,AJ101,1):INDEX(Z:Z,AJ101+9,1)),NA())</f>
        <v>#N/A</v>
      </c>
      <c r="AL101" s="32" t="str">
        <f t="shared" si="26"/>
        <v>-</v>
      </c>
    </row>
    <row r="102" spans="27:38" hidden="1" x14ac:dyDescent="0.25">
      <c r="AA102" t="s">
        <v>1594</v>
      </c>
      <c r="AB102" s="1" t="s">
        <v>2</v>
      </c>
      <c r="AC102" s="1" t="s">
        <v>10</v>
      </c>
      <c r="AD102" s="1" t="s">
        <v>7</v>
      </c>
      <c r="AE102" s="1" t="s">
        <v>7</v>
      </c>
      <c r="AF102" s="1" t="s">
        <v>1</v>
      </c>
      <c r="AG102">
        <f t="shared" si="25"/>
        <v>0</v>
      </c>
      <c r="AJ102">
        <v>1011</v>
      </c>
      <c r="AK102" t="e">
        <f>IFERROR(AVERAGE(INDEX(Z:Z,AJ102,1):INDEX(Z:Z,AJ102+9,1)),NA())</f>
        <v>#N/A</v>
      </c>
      <c r="AL102" s="32" t="str">
        <f t="shared" si="26"/>
        <v>-</v>
      </c>
    </row>
    <row r="103" spans="27:38" hidden="1" x14ac:dyDescent="0.25">
      <c r="AA103" t="s">
        <v>1218</v>
      </c>
      <c r="AB103" s="1" t="s">
        <v>5</v>
      </c>
      <c r="AC103" s="1" t="s">
        <v>13</v>
      </c>
      <c r="AD103" s="1" t="s">
        <v>11</v>
      </c>
      <c r="AE103" s="1" t="s">
        <v>1921</v>
      </c>
      <c r="AF103" s="1" t="s">
        <v>1</v>
      </c>
      <c r="AG103">
        <f t="shared" si="25"/>
        <v>0</v>
      </c>
      <c r="AJ103">
        <v>1021</v>
      </c>
      <c r="AK103" t="e">
        <f>IFERROR(AVERAGE(INDEX(Z:Z,AJ103,1):INDEX(Z:Z,AJ103+9,1)),NA())</f>
        <v>#N/A</v>
      </c>
      <c r="AL103" s="32" t="str">
        <f t="shared" si="26"/>
        <v>-</v>
      </c>
    </row>
    <row r="104" spans="27:38" hidden="1" x14ac:dyDescent="0.25">
      <c r="AA104" t="s">
        <v>1857</v>
      </c>
      <c r="AB104" s="1" t="s">
        <v>1919</v>
      </c>
      <c r="AC104" s="1" t="s">
        <v>10</v>
      </c>
      <c r="AD104" s="1" t="s">
        <v>2</v>
      </c>
      <c r="AE104" s="1" t="s">
        <v>10</v>
      </c>
      <c r="AF104" s="1" t="s">
        <v>3</v>
      </c>
      <c r="AG104">
        <f t="shared" si="25"/>
        <v>0</v>
      </c>
      <c r="AJ104">
        <v>1031</v>
      </c>
      <c r="AK104" t="e">
        <f>IFERROR(AVERAGE(INDEX(Z:Z,AJ104,1):INDEX(Z:Z,AJ104+9,1)),NA())</f>
        <v>#N/A</v>
      </c>
      <c r="AL104" s="32" t="str">
        <f t="shared" si="26"/>
        <v>-</v>
      </c>
    </row>
    <row r="105" spans="27:38" hidden="1" x14ac:dyDescent="0.25">
      <c r="AA105" t="s">
        <v>184</v>
      </c>
      <c r="AB105" s="1" t="s">
        <v>1914</v>
      </c>
      <c r="AC105" s="1" t="s">
        <v>1</v>
      </c>
      <c r="AD105" s="1" t="s">
        <v>2</v>
      </c>
      <c r="AE105" s="1" t="s">
        <v>1</v>
      </c>
      <c r="AF105" s="1" t="s">
        <v>3</v>
      </c>
      <c r="AG105">
        <f t="shared" si="25"/>
        <v>0</v>
      </c>
      <c r="AJ105">
        <v>1041</v>
      </c>
      <c r="AK105" t="e">
        <f>IFERROR(AVERAGE(INDEX(Z:Z,AJ105,1):INDEX(Z:Z,AJ105+9,1)),NA())</f>
        <v>#N/A</v>
      </c>
      <c r="AL105" s="32" t="str">
        <f t="shared" si="26"/>
        <v>-</v>
      </c>
    </row>
    <row r="106" spans="27:38" hidden="1" x14ac:dyDescent="0.25">
      <c r="AA106" t="s">
        <v>1679</v>
      </c>
      <c r="AB106" s="1" t="s">
        <v>4</v>
      </c>
      <c r="AC106" s="1" t="s">
        <v>11</v>
      </c>
      <c r="AD106" s="1" t="s">
        <v>0</v>
      </c>
      <c r="AE106" s="1" t="s">
        <v>1917</v>
      </c>
      <c r="AF106" s="1" t="s">
        <v>5</v>
      </c>
      <c r="AG106">
        <f t="shared" si="25"/>
        <v>0</v>
      </c>
      <c r="AJ106">
        <v>1051</v>
      </c>
      <c r="AK106" t="e">
        <f>IFERROR(AVERAGE(INDEX(Z:Z,AJ106,1):INDEX(Z:Z,AJ106+9,1)),NA())</f>
        <v>#N/A</v>
      </c>
      <c r="AL106" s="32" t="str">
        <f t="shared" si="26"/>
        <v>-</v>
      </c>
    </row>
    <row r="107" spans="27:38" hidden="1" x14ac:dyDescent="0.25">
      <c r="AA107" t="s">
        <v>116</v>
      </c>
      <c r="AB107" s="1" t="s">
        <v>1</v>
      </c>
      <c r="AC107" s="1" t="s">
        <v>3</v>
      </c>
      <c r="AD107" s="1" t="s">
        <v>11</v>
      </c>
      <c r="AE107" s="1" t="s">
        <v>9</v>
      </c>
      <c r="AF107" s="1" t="s">
        <v>1</v>
      </c>
      <c r="AG107">
        <f t="shared" si="25"/>
        <v>0</v>
      </c>
      <c r="AJ107">
        <v>1061</v>
      </c>
      <c r="AK107" t="e">
        <f>IFERROR(AVERAGE(INDEX(Z:Z,AJ107,1):INDEX(Z:Z,AJ107+9,1)),NA())</f>
        <v>#N/A</v>
      </c>
      <c r="AL107" s="32" t="str">
        <f t="shared" si="26"/>
        <v>-</v>
      </c>
    </row>
    <row r="108" spans="27:38" hidden="1" x14ac:dyDescent="0.25">
      <c r="AA108" t="s">
        <v>2225</v>
      </c>
      <c r="AB108" s="1" t="s">
        <v>3</v>
      </c>
      <c r="AC108" s="1" t="s">
        <v>1</v>
      </c>
      <c r="AD108" s="1" t="s">
        <v>1915</v>
      </c>
      <c r="AE108" s="1" t="s">
        <v>5</v>
      </c>
      <c r="AF108" s="1" t="s">
        <v>6</v>
      </c>
      <c r="AG108">
        <f t="shared" si="25"/>
        <v>0</v>
      </c>
      <c r="AJ108">
        <v>1071</v>
      </c>
      <c r="AK108" t="e">
        <f>IFERROR(AVERAGE(INDEX(Z:Z,AJ108,1):INDEX(Z:Z,AJ108+9,1)),NA())</f>
        <v>#N/A</v>
      </c>
      <c r="AL108" s="32" t="str">
        <f t="shared" si="26"/>
        <v>-</v>
      </c>
    </row>
    <row r="109" spans="27:38" hidden="1" x14ac:dyDescent="0.25">
      <c r="AA109" t="s">
        <v>2075</v>
      </c>
      <c r="AB109" s="1" t="s">
        <v>1920</v>
      </c>
      <c r="AC109" s="1" t="s">
        <v>11</v>
      </c>
      <c r="AD109" s="1" t="s">
        <v>6</v>
      </c>
      <c r="AE109" s="1" t="s">
        <v>10</v>
      </c>
      <c r="AF109" s="1" t="s">
        <v>1922</v>
      </c>
      <c r="AG109">
        <f t="shared" si="25"/>
        <v>0</v>
      </c>
      <c r="AJ109">
        <v>1081</v>
      </c>
      <c r="AK109" t="e">
        <f>IFERROR(AVERAGE(INDEX(Z:Z,AJ109,1):INDEX(Z:Z,AJ109+9,1)),NA())</f>
        <v>#N/A</v>
      </c>
      <c r="AL109" s="32" t="str">
        <f t="shared" si="26"/>
        <v>-</v>
      </c>
    </row>
    <row r="110" spans="27:38" hidden="1" x14ac:dyDescent="0.25">
      <c r="AA110" t="s">
        <v>1209</v>
      </c>
      <c r="AB110" s="1" t="s">
        <v>5</v>
      </c>
      <c r="AC110" s="1" t="s">
        <v>15</v>
      </c>
      <c r="AD110" s="1" t="s">
        <v>11</v>
      </c>
      <c r="AE110" s="1" t="s">
        <v>3</v>
      </c>
      <c r="AF110" s="1" t="s">
        <v>1</v>
      </c>
      <c r="AG110">
        <f t="shared" si="25"/>
        <v>0</v>
      </c>
      <c r="AJ110">
        <v>1091</v>
      </c>
      <c r="AK110" t="e">
        <f>IFERROR(AVERAGE(INDEX(Z:Z,AJ110,1):INDEX(Z:Z,AJ110+9,1)),NA())</f>
        <v>#N/A</v>
      </c>
      <c r="AL110" s="32" t="str">
        <f t="shared" si="26"/>
        <v>-</v>
      </c>
    </row>
    <row r="111" spans="27:38" hidden="1" x14ac:dyDescent="0.25">
      <c r="AA111" t="s">
        <v>776</v>
      </c>
      <c r="AB111" s="1" t="s">
        <v>1921</v>
      </c>
      <c r="AC111" s="1" t="s">
        <v>3</v>
      </c>
      <c r="AD111" s="1" t="s">
        <v>8</v>
      </c>
      <c r="AE111" s="1" t="s">
        <v>13</v>
      </c>
      <c r="AF111" s="1" t="s">
        <v>5</v>
      </c>
      <c r="AG111">
        <f t="shared" si="25"/>
        <v>0</v>
      </c>
      <c r="AJ111">
        <v>1101</v>
      </c>
      <c r="AK111" t="e">
        <f>IFERROR(AVERAGE(INDEX(Z:Z,AJ111,1):INDEX(Z:Z,AJ111+9,1)),NA())</f>
        <v>#N/A</v>
      </c>
      <c r="AL111" s="32" t="str">
        <f t="shared" si="26"/>
        <v>-</v>
      </c>
    </row>
    <row r="112" spans="27:38" hidden="1" x14ac:dyDescent="0.25">
      <c r="AA112" t="s">
        <v>455</v>
      </c>
      <c r="AB112" s="1" t="s">
        <v>0</v>
      </c>
      <c r="AC112" s="1" t="s">
        <v>5</v>
      </c>
      <c r="AD112" s="1" t="s">
        <v>3</v>
      </c>
      <c r="AE112" s="1" t="s">
        <v>4</v>
      </c>
      <c r="AF112" s="1" t="s">
        <v>1</v>
      </c>
      <c r="AG112">
        <f t="shared" si="25"/>
        <v>0</v>
      </c>
      <c r="AJ112">
        <v>1111</v>
      </c>
      <c r="AK112" t="e">
        <f>IFERROR(AVERAGE(INDEX(Z:Z,AJ112,1):INDEX(Z:Z,AJ112+9,1)),NA())</f>
        <v>#N/A</v>
      </c>
      <c r="AL112" s="32" t="str">
        <f t="shared" si="26"/>
        <v>-</v>
      </c>
    </row>
    <row r="113" spans="27:38" hidden="1" x14ac:dyDescent="0.25">
      <c r="AA113" t="s">
        <v>472</v>
      </c>
      <c r="AB113" s="1" t="s">
        <v>0</v>
      </c>
      <c r="AC113" s="1" t="s">
        <v>3</v>
      </c>
      <c r="AD113" s="1" t="s">
        <v>11</v>
      </c>
      <c r="AE113" s="1" t="s">
        <v>9</v>
      </c>
      <c r="AF113" s="1" t="s">
        <v>11</v>
      </c>
      <c r="AG113">
        <f t="shared" si="25"/>
        <v>0</v>
      </c>
      <c r="AJ113">
        <v>1121</v>
      </c>
      <c r="AK113" t="e">
        <f>IFERROR(AVERAGE(INDEX(Z:Z,AJ113,1):INDEX(Z:Z,AJ113+9,1)),NA())</f>
        <v>#N/A</v>
      </c>
      <c r="AL113" s="32" t="str">
        <f t="shared" si="26"/>
        <v>-</v>
      </c>
    </row>
    <row r="114" spans="27:38" hidden="1" x14ac:dyDescent="0.25">
      <c r="AA114" t="s">
        <v>836</v>
      </c>
      <c r="AB114" s="1" t="s">
        <v>1917</v>
      </c>
      <c r="AC114" s="1" t="s">
        <v>5</v>
      </c>
      <c r="AD114" s="1" t="s">
        <v>3</v>
      </c>
      <c r="AE114" s="1" t="s">
        <v>0</v>
      </c>
      <c r="AF114" s="1" t="s">
        <v>5</v>
      </c>
      <c r="AG114">
        <f t="shared" si="25"/>
        <v>0</v>
      </c>
      <c r="AJ114">
        <v>1131</v>
      </c>
      <c r="AK114" t="e">
        <f>IFERROR(AVERAGE(INDEX(Z:Z,AJ114,1):INDEX(Z:Z,AJ114+9,1)),NA())</f>
        <v>#N/A</v>
      </c>
      <c r="AL114" s="32" t="str">
        <f t="shared" si="26"/>
        <v>-</v>
      </c>
    </row>
    <row r="115" spans="27:38" hidden="1" x14ac:dyDescent="0.25">
      <c r="AA115" t="s">
        <v>1451</v>
      </c>
      <c r="AB115" s="1" t="s">
        <v>3</v>
      </c>
      <c r="AC115" s="1" t="s">
        <v>11</v>
      </c>
      <c r="AD115" s="1" t="s">
        <v>0</v>
      </c>
      <c r="AE115" s="1" t="s">
        <v>10</v>
      </c>
      <c r="AF115" s="1" t="s">
        <v>1</v>
      </c>
      <c r="AG115">
        <f t="shared" si="25"/>
        <v>0</v>
      </c>
      <c r="AJ115">
        <v>1141</v>
      </c>
      <c r="AK115" t="e">
        <f>IFERROR(AVERAGE(INDEX(Z:Z,AJ115,1):INDEX(Z:Z,AJ115+9,1)),NA())</f>
        <v>#N/A</v>
      </c>
      <c r="AL115" s="32" t="str">
        <f t="shared" si="26"/>
        <v>-</v>
      </c>
    </row>
    <row r="116" spans="27:38" hidden="1" x14ac:dyDescent="0.25">
      <c r="AA116" t="s">
        <v>1718</v>
      </c>
      <c r="AB116" s="1" t="s">
        <v>4</v>
      </c>
      <c r="AC116" s="1" t="s">
        <v>10</v>
      </c>
      <c r="AD116" s="1" t="s">
        <v>6</v>
      </c>
      <c r="AE116" s="1" t="s">
        <v>4</v>
      </c>
      <c r="AF116" s="1" t="s">
        <v>5</v>
      </c>
      <c r="AG116">
        <f t="shared" si="25"/>
        <v>0</v>
      </c>
      <c r="AJ116">
        <v>1151</v>
      </c>
      <c r="AK116" t="e">
        <f>IFERROR(AVERAGE(INDEX(Z:Z,AJ116,1):INDEX(Z:Z,AJ116+9,1)),NA())</f>
        <v>#N/A</v>
      </c>
      <c r="AL116" s="32" t="str">
        <f t="shared" si="26"/>
        <v>-</v>
      </c>
    </row>
    <row r="117" spans="27:38" hidden="1" x14ac:dyDescent="0.25">
      <c r="AA117" t="s">
        <v>478</v>
      </c>
      <c r="AB117" s="1" t="s">
        <v>0</v>
      </c>
      <c r="AC117" s="1" t="s">
        <v>3</v>
      </c>
      <c r="AD117" s="1" t="s">
        <v>5</v>
      </c>
      <c r="AE117" s="1" t="s">
        <v>6</v>
      </c>
      <c r="AF117" s="1" t="s">
        <v>5</v>
      </c>
      <c r="AG117">
        <f t="shared" si="25"/>
        <v>0</v>
      </c>
      <c r="AJ117">
        <v>1161</v>
      </c>
      <c r="AK117" t="e">
        <f>IFERROR(AVERAGE(INDEX(Z:Z,AJ117,1):INDEX(Z:Z,AJ117+9,1)),NA())</f>
        <v>#N/A</v>
      </c>
      <c r="AL117" s="32" t="str">
        <f t="shared" si="26"/>
        <v>-</v>
      </c>
    </row>
    <row r="118" spans="27:38" hidden="1" x14ac:dyDescent="0.25">
      <c r="AA118" t="s">
        <v>2232</v>
      </c>
      <c r="AB118" s="1" t="s">
        <v>5</v>
      </c>
      <c r="AC118" s="1" t="s">
        <v>1914</v>
      </c>
      <c r="AD118" s="1" t="s">
        <v>10</v>
      </c>
      <c r="AE118" s="1" t="s">
        <v>4</v>
      </c>
      <c r="AF118" s="1" t="s">
        <v>5</v>
      </c>
      <c r="AG118">
        <f t="shared" si="25"/>
        <v>0</v>
      </c>
      <c r="AJ118">
        <v>1171</v>
      </c>
      <c r="AK118" t="e">
        <f>IFERROR(AVERAGE(INDEX(Z:Z,AJ118,1):INDEX(Z:Z,AJ118+9,1)),NA())</f>
        <v>#N/A</v>
      </c>
      <c r="AL118" s="32" t="str">
        <f t="shared" si="26"/>
        <v>-</v>
      </c>
    </row>
    <row r="119" spans="27:38" hidden="1" x14ac:dyDescent="0.25">
      <c r="AA119" t="s">
        <v>380</v>
      </c>
      <c r="AB119" s="1" t="s">
        <v>0</v>
      </c>
      <c r="AC119" s="1" t="s">
        <v>1917</v>
      </c>
      <c r="AD119" s="1" t="s">
        <v>11</v>
      </c>
      <c r="AE119" s="1" t="s">
        <v>9</v>
      </c>
      <c r="AF119" s="1" t="s">
        <v>5</v>
      </c>
      <c r="AG119">
        <f t="shared" si="25"/>
        <v>0</v>
      </c>
      <c r="AJ119">
        <v>1181</v>
      </c>
      <c r="AK119" t="e">
        <f>IFERROR(AVERAGE(INDEX(Z:Z,AJ119,1):INDEX(Z:Z,AJ119+9,1)),NA())</f>
        <v>#N/A</v>
      </c>
      <c r="AL119" s="32" t="str">
        <f t="shared" si="26"/>
        <v>-</v>
      </c>
    </row>
    <row r="120" spans="27:38" hidden="1" x14ac:dyDescent="0.25">
      <c r="AA120" t="s">
        <v>1906</v>
      </c>
      <c r="AB120" s="1" t="s">
        <v>12</v>
      </c>
      <c r="AC120" s="1" t="s">
        <v>5</v>
      </c>
      <c r="AD120" s="1" t="s">
        <v>13</v>
      </c>
      <c r="AE120" s="1" t="s">
        <v>1914</v>
      </c>
      <c r="AF120" s="1" t="s">
        <v>10</v>
      </c>
      <c r="AG120">
        <f t="shared" si="25"/>
        <v>0</v>
      </c>
      <c r="AJ120">
        <v>1191</v>
      </c>
      <c r="AK120" t="e">
        <f>IFERROR(AVERAGE(INDEX(Z:Z,AJ120,1):INDEX(Z:Z,AJ120+9,1)),NA())</f>
        <v>#N/A</v>
      </c>
      <c r="AL120" s="32" t="str">
        <f t="shared" si="26"/>
        <v>-</v>
      </c>
    </row>
    <row r="121" spans="27:38" hidden="1" x14ac:dyDescent="0.25">
      <c r="AA121" t="s">
        <v>1344</v>
      </c>
      <c r="AB121" s="1" t="s">
        <v>9</v>
      </c>
      <c r="AC121" s="1" t="s">
        <v>10</v>
      </c>
      <c r="AD121" s="1" t="s">
        <v>12</v>
      </c>
      <c r="AE121" s="1" t="s">
        <v>12</v>
      </c>
      <c r="AF121" s="1" t="s">
        <v>1</v>
      </c>
      <c r="AG121">
        <f t="shared" si="25"/>
        <v>0</v>
      </c>
      <c r="AJ121">
        <v>1201</v>
      </c>
      <c r="AK121" t="e">
        <f>IFERROR(AVERAGE(INDEX(Z:Z,AJ121,1):INDEX(Z:Z,AJ121+9,1)),NA())</f>
        <v>#N/A</v>
      </c>
      <c r="AL121" s="32" t="str">
        <f t="shared" si="26"/>
        <v>-</v>
      </c>
    </row>
    <row r="122" spans="27:38" hidden="1" x14ac:dyDescent="0.25">
      <c r="AA122" t="s">
        <v>401</v>
      </c>
      <c r="AB122" s="1" t="s">
        <v>0</v>
      </c>
      <c r="AC122" s="1" t="s">
        <v>1917</v>
      </c>
      <c r="AD122" s="1" t="s">
        <v>8</v>
      </c>
      <c r="AE122" s="1" t="s">
        <v>4</v>
      </c>
      <c r="AF122" s="1" t="s">
        <v>11</v>
      </c>
      <c r="AG122">
        <f t="shared" si="25"/>
        <v>0</v>
      </c>
      <c r="AJ122">
        <v>1211</v>
      </c>
      <c r="AK122" t="e">
        <f>IFERROR(AVERAGE(INDEX(Z:Z,AJ122,1):INDEX(Z:Z,AJ122+9,1)),NA())</f>
        <v>#N/A</v>
      </c>
      <c r="AL122" s="32" t="str">
        <f t="shared" si="26"/>
        <v>-</v>
      </c>
    </row>
    <row r="123" spans="27:38" hidden="1" x14ac:dyDescent="0.25">
      <c r="AA123" t="s">
        <v>210</v>
      </c>
      <c r="AB123" s="1" t="s">
        <v>1914</v>
      </c>
      <c r="AC123" s="1" t="s">
        <v>10</v>
      </c>
      <c r="AD123" s="1" t="s">
        <v>7</v>
      </c>
      <c r="AE123" s="1" t="s">
        <v>10</v>
      </c>
      <c r="AF123" s="1" t="s">
        <v>2</v>
      </c>
      <c r="AG123">
        <f t="shared" si="25"/>
        <v>0</v>
      </c>
      <c r="AJ123">
        <v>1221</v>
      </c>
      <c r="AK123" t="e">
        <f>IFERROR(AVERAGE(INDEX(Z:Z,AJ123,1):INDEX(Z:Z,AJ123+9,1)),NA())</f>
        <v>#N/A</v>
      </c>
      <c r="AL123" s="32" t="str">
        <f t="shared" si="26"/>
        <v>-</v>
      </c>
    </row>
    <row r="124" spans="27:38" hidden="1" x14ac:dyDescent="0.25">
      <c r="AA124" t="s">
        <v>1051</v>
      </c>
      <c r="AB124" s="1" t="s">
        <v>13</v>
      </c>
      <c r="AC124" s="1" t="s">
        <v>11</v>
      </c>
      <c r="AD124" s="1" t="s">
        <v>1915</v>
      </c>
      <c r="AE124" s="1" t="s">
        <v>10</v>
      </c>
      <c r="AF124" s="1" t="s">
        <v>3</v>
      </c>
      <c r="AG124">
        <f t="shared" si="25"/>
        <v>0</v>
      </c>
      <c r="AJ124">
        <v>1231</v>
      </c>
      <c r="AK124" t="e">
        <f>IFERROR(AVERAGE(INDEX(Z:Z,AJ124,1):INDEX(Z:Z,AJ124+9,1)),NA())</f>
        <v>#N/A</v>
      </c>
      <c r="AL124" s="32" t="str">
        <f t="shared" si="26"/>
        <v>-</v>
      </c>
    </row>
    <row r="125" spans="27:38" hidden="1" x14ac:dyDescent="0.25">
      <c r="AA125" t="s">
        <v>1028</v>
      </c>
      <c r="AB125" s="1" t="s">
        <v>13</v>
      </c>
      <c r="AC125" s="1" t="s">
        <v>1</v>
      </c>
      <c r="AD125" s="1" t="s">
        <v>6</v>
      </c>
      <c r="AE125" s="1" t="s">
        <v>4</v>
      </c>
      <c r="AF125" s="1" t="s">
        <v>1</v>
      </c>
      <c r="AG125">
        <f t="shared" si="25"/>
        <v>0</v>
      </c>
      <c r="AJ125">
        <v>1241</v>
      </c>
      <c r="AK125" t="e">
        <f>IFERROR(AVERAGE(INDEX(Z:Z,AJ125,1):INDEX(Z:Z,AJ125+9,1)),NA())</f>
        <v>#N/A</v>
      </c>
      <c r="AL125" s="32" t="str">
        <f t="shared" si="26"/>
        <v>-</v>
      </c>
    </row>
    <row r="126" spans="27:38" hidden="1" x14ac:dyDescent="0.25">
      <c r="AA126" t="s">
        <v>1812</v>
      </c>
      <c r="AB126" s="1" t="s">
        <v>1919</v>
      </c>
      <c r="AC126" s="1" t="s">
        <v>1</v>
      </c>
      <c r="AD126" s="1" t="s">
        <v>7</v>
      </c>
      <c r="AE126" s="1" t="s">
        <v>5</v>
      </c>
      <c r="AF126" s="1" t="s">
        <v>3</v>
      </c>
      <c r="AG126">
        <f t="shared" si="25"/>
        <v>0</v>
      </c>
      <c r="AJ126">
        <v>1251</v>
      </c>
      <c r="AK126" t="e">
        <f>IFERROR(AVERAGE(INDEX(Z:Z,AJ126,1):INDEX(Z:Z,AJ126+9,1)),NA())</f>
        <v>#N/A</v>
      </c>
      <c r="AL126" s="32" t="str">
        <f t="shared" si="26"/>
        <v>-</v>
      </c>
    </row>
    <row r="127" spans="27:38" hidden="1" x14ac:dyDescent="0.25">
      <c r="AA127" t="s">
        <v>1140</v>
      </c>
      <c r="AB127" s="1" t="s">
        <v>6</v>
      </c>
      <c r="AC127" s="1" t="s">
        <v>1</v>
      </c>
      <c r="AD127" s="1" t="s">
        <v>0</v>
      </c>
      <c r="AE127" s="1" t="s">
        <v>1917</v>
      </c>
      <c r="AF127" s="1" t="s">
        <v>1</v>
      </c>
      <c r="AG127">
        <f t="shared" si="25"/>
        <v>0</v>
      </c>
      <c r="AJ127">
        <v>1261</v>
      </c>
      <c r="AK127" t="e">
        <f>IFERROR(AVERAGE(INDEX(Z:Z,AJ127,1):INDEX(Z:Z,AJ127+9,1)),NA())</f>
        <v>#N/A</v>
      </c>
      <c r="AL127" s="32" t="str">
        <f t="shared" si="26"/>
        <v>-</v>
      </c>
    </row>
    <row r="128" spans="27:38" hidden="1" x14ac:dyDescent="0.25">
      <c r="AA128" t="s">
        <v>1861</v>
      </c>
      <c r="AB128" s="1" t="s">
        <v>1919</v>
      </c>
      <c r="AC128" s="1" t="s">
        <v>10</v>
      </c>
      <c r="AD128" s="1" t="s">
        <v>4</v>
      </c>
      <c r="AE128" s="1" t="s">
        <v>1</v>
      </c>
      <c r="AF128" s="1" t="s">
        <v>7</v>
      </c>
      <c r="AG128">
        <f t="shared" si="25"/>
        <v>0</v>
      </c>
      <c r="AJ128">
        <v>1271</v>
      </c>
      <c r="AK128" t="e">
        <f>IFERROR(AVERAGE(INDEX(Z:Z,AJ128,1):INDEX(Z:Z,AJ128+9,1)),NA())</f>
        <v>#N/A</v>
      </c>
      <c r="AL128" s="32" t="str">
        <f t="shared" si="26"/>
        <v>-</v>
      </c>
    </row>
    <row r="129" spans="27:38" hidden="1" x14ac:dyDescent="0.25">
      <c r="AA129" t="s">
        <v>302</v>
      </c>
      <c r="AB129" s="1" t="s">
        <v>0</v>
      </c>
      <c r="AC129" s="1" t="s">
        <v>1</v>
      </c>
      <c r="AD129" s="1" t="s">
        <v>7</v>
      </c>
      <c r="AE129" s="1" t="s">
        <v>13</v>
      </c>
      <c r="AF129" s="1" t="s">
        <v>5</v>
      </c>
      <c r="AG129">
        <f t="shared" si="25"/>
        <v>0</v>
      </c>
      <c r="AJ129">
        <v>1281</v>
      </c>
      <c r="AK129" t="e">
        <f>IFERROR(AVERAGE(INDEX(Z:Z,AJ129,1):INDEX(Z:Z,AJ129+9,1)),NA())</f>
        <v>#N/A</v>
      </c>
      <c r="AL129" s="32" t="str">
        <f t="shared" si="26"/>
        <v>-</v>
      </c>
    </row>
    <row r="130" spans="27:38" hidden="1" x14ac:dyDescent="0.25">
      <c r="AA130" t="s">
        <v>1944</v>
      </c>
      <c r="AB130" s="1" t="s">
        <v>1</v>
      </c>
      <c r="AC130" s="1" t="s">
        <v>3</v>
      </c>
      <c r="AD130" s="1" t="s">
        <v>13</v>
      </c>
      <c r="AE130" s="1" t="s">
        <v>1</v>
      </c>
      <c r="AF130" s="1" t="s">
        <v>2</v>
      </c>
      <c r="AG130">
        <f t="shared" si="25"/>
        <v>0</v>
      </c>
      <c r="AJ130">
        <v>1291</v>
      </c>
      <c r="AK130" t="e">
        <f>IFERROR(AVERAGE(INDEX(Z:Z,AJ130,1):INDEX(Z:Z,AJ130+9,1)),NA())</f>
        <v>#N/A</v>
      </c>
      <c r="AL130" s="32" t="str">
        <f t="shared" si="26"/>
        <v>-</v>
      </c>
    </row>
    <row r="131" spans="27:38" hidden="1" x14ac:dyDescent="0.25">
      <c r="AA131" t="s">
        <v>318</v>
      </c>
      <c r="AB131" s="1" t="s">
        <v>0</v>
      </c>
      <c r="AC131" s="1" t="s">
        <v>1</v>
      </c>
      <c r="AD131" s="1" t="s">
        <v>6</v>
      </c>
      <c r="AE131" s="1" t="s">
        <v>4</v>
      </c>
      <c r="AF131" s="1" t="s">
        <v>5</v>
      </c>
      <c r="AG131">
        <f t="shared" ref="AG131:AG194" si="27">IF(AND(Z131&gt;0,Z131&lt;7),AG130+1,0)</f>
        <v>0</v>
      </c>
      <c r="AJ131">
        <v>1301</v>
      </c>
      <c r="AK131" t="e">
        <f>IFERROR(AVERAGE(INDEX(Z:Z,AJ131,1):INDEX(Z:Z,AJ131+9,1)),NA())</f>
        <v>#N/A</v>
      </c>
      <c r="AL131" s="32" t="str">
        <f t="shared" ref="AL131:AL194" si="28">AL130</f>
        <v>-</v>
      </c>
    </row>
    <row r="132" spans="27:38" hidden="1" x14ac:dyDescent="0.25">
      <c r="AA132" t="s">
        <v>985</v>
      </c>
      <c r="AB132" s="1" t="s">
        <v>7</v>
      </c>
      <c r="AC132" s="1" t="s">
        <v>5</v>
      </c>
      <c r="AD132" s="1" t="s">
        <v>1921</v>
      </c>
      <c r="AE132" s="1" t="s">
        <v>10</v>
      </c>
      <c r="AF132" s="1" t="s">
        <v>1</v>
      </c>
      <c r="AG132">
        <f t="shared" si="27"/>
        <v>0</v>
      </c>
      <c r="AJ132">
        <v>1311</v>
      </c>
      <c r="AK132" t="e">
        <f>IFERROR(AVERAGE(INDEX(Z:Z,AJ132,1):INDEX(Z:Z,AJ132+9,1)),NA())</f>
        <v>#N/A</v>
      </c>
      <c r="AL132" s="32" t="str">
        <f t="shared" si="28"/>
        <v>-</v>
      </c>
    </row>
    <row r="133" spans="27:38" hidden="1" x14ac:dyDescent="0.25">
      <c r="AA133" t="s">
        <v>1415</v>
      </c>
      <c r="AB133" s="1" t="s">
        <v>9</v>
      </c>
      <c r="AC133" s="1" t="s">
        <v>8</v>
      </c>
      <c r="AD133" s="1" t="s">
        <v>3</v>
      </c>
      <c r="AE133" s="1" t="s">
        <v>1921</v>
      </c>
      <c r="AF133" s="1" t="s">
        <v>1</v>
      </c>
      <c r="AG133">
        <f t="shared" si="27"/>
        <v>0</v>
      </c>
      <c r="AJ133">
        <v>1321</v>
      </c>
      <c r="AK133" t="e">
        <f>IFERROR(AVERAGE(INDEX(Z:Z,AJ133,1):INDEX(Z:Z,AJ133+9,1)),NA())</f>
        <v>#N/A</v>
      </c>
      <c r="AL133" s="32" t="str">
        <f t="shared" si="28"/>
        <v>-</v>
      </c>
    </row>
    <row r="134" spans="27:38" hidden="1" x14ac:dyDescent="0.25">
      <c r="AA134" t="s">
        <v>148</v>
      </c>
      <c r="AB134" s="1" t="s">
        <v>1</v>
      </c>
      <c r="AC134" s="1" t="s">
        <v>1922</v>
      </c>
      <c r="AD134" s="1" t="s">
        <v>10</v>
      </c>
      <c r="AE134" s="1" t="s">
        <v>1</v>
      </c>
      <c r="AF134" s="1" t="s">
        <v>7</v>
      </c>
      <c r="AG134">
        <f t="shared" si="27"/>
        <v>0</v>
      </c>
      <c r="AJ134">
        <v>1331</v>
      </c>
      <c r="AK134" t="e">
        <f>IFERROR(AVERAGE(INDEX(Z:Z,AJ134,1):INDEX(Z:Z,AJ134+9,1)),NA())</f>
        <v>#N/A</v>
      </c>
      <c r="AL134" s="32" t="str">
        <f t="shared" si="28"/>
        <v>-</v>
      </c>
    </row>
    <row r="135" spans="27:38" hidden="1" x14ac:dyDescent="0.25">
      <c r="AA135" t="s">
        <v>885</v>
      </c>
      <c r="AB135" s="1" t="s">
        <v>15</v>
      </c>
      <c r="AC135" s="1" t="s">
        <v>1</v>
      </c>
      <c r="AD135" s="1" t="s">
        <v>3</v>
      </c>
      <c r="AE135" s="1" t="s">
        <v>3</v>
      </c>
      <c r="AF135" s="1" t="s">
        <v>5</v>
      </c>
      <c r="AG135">
        <f t="shared" si="27"/>
        <v>0</v>
      </c>
      <c r="AJ135">
        <v>1341</v>
      </c>
      <c r="AK135" t="e">
        <f>IFERROR(AVERAGE(INDEX(Z:Z,AJ135,1):INDEX(Z:Z,AJ135+9,1)),NA())</f>
        <v>#N/A</v>
      </c>
      <c r="AL135" s="32" t="str">
        <f t="shared" si="28"/>
        <v>-</v>
      </c>
    </row>
    <row r="136" spans="27:38" hidden="1" x14ac:dyDescent="0.25">
      <c r="AA136" t="s">
        <v>723</v>
      </c>
      <c r="AB136" s="1" t="s">
        <v>1921</v>
      </c>
      <c r="AC136" s="1" t="s">
        <v>1</v>
      </c>
      <c r="AD136" s="1" t="s">
        <v>2</v>
      </c>
      <c r="AE136" s="1" t="s">
        <v>4</v>
      </c>
      <c r="AF136" s="1" t="s">
        <v>5</v>
      </c>
      <c r="AG136">
        <f t="shared" si="27"/>
        <v>0</v>
      </c>
      <c r="AJ136">
        <v>1351</v>
      </c>
      <c r="AK136" t="e">
        <f>IFERROR(AVERAGE(INDEX(Z:Z,AJ136,1):INDEX(Z:Z,AJ136+9,1)),NA())</f>
        <v>#N/A</v>
      </c>
      <c r="AL136" s="32" t="str">
        <f t="shared" si="28"/>
        <v>-</v>
      </c>
    </row>
    <row r="137" spans="27:38" hidden="1" x14ac:dyDescent="0.25">
      <c r="AA137" t="s">
        <v>1577</v>
      </c>
      <c r="AB137" s="1" t="s">
        <v>2</v>
      </c>
      <c r="AC137" s="1" t="s">
        <v>11</v>
      </c>
      <c r="AD137" s="1" t="s">
        <v>3</v>
      </c>
      <c r="AE137" s="1" t="s">
        <v>10</v>
      </c>
      <c r="AF137" s="1" t="s">
        <v>5</v>
      </c>
      <c r="AG137">
        <f t="shared" si="27"/>
        <v>0</v>
      </c>
      <c r="AJ137">
        <v>1361</v>
      </c>
      <c r="AK137" t="e">
        <f>IFERROR(AVERAGE(INDEX(Z:Z,AJ137,1):INDEX(Z:Z,AJ137+9,1)),NA())</f>
        <v>#N/A</v>
      </c>
      <c r="AL137" s="32" t="str">
        <f t="shared" si="28"/>
        <v>-</v>
      </c>
    </row>
    <row r="138" spans="27:38" hidden="1" x14ac:dyDescent="0.25">
      <c r="AA138" t="s">
        <v>280</v>
      </c>
      <c r="AB138" s="1" t="s">
        <v>1914</v>
      </c>
      <c r="AC138" s="1" t="s">
        <v>8</v>
      </c>
      <c r="AD138" s="1" t="s">
        <v>3</v>
      </c>
      <c r="AE138" s="1" t="s">
        <v>3</v>
      </c>
      <c r="AF138" s="1" t="s">
        <v>1</v>
      </c>
      <c r="AG138">
        <f t="shared" si="27"/>
        <v>0</v>
      </c>
      <c r="AJ138">
        <v>1371</v>
      </c>
      <c r="AK138" t="e">
        <f>IFERROR(AVERAGE(INDEX(Z:Z,AJ138,1):INDEX(Z:Z,AJ138+9,1)),NA())</f>
        <v>#N/A</v>
      </c>
      <c r="AL138" s="32" t="str">
        <f t="shared" si="28"/>
        <v>-</v>
      </c>
    </row>
    <row r="139" spans="27:38" hidden="1" x14ac:dyDescent="0.25">
      <c r="AA139" t="s">
        <v>2188</v>
      </c>
      <c r="AB139" s="1" t="s">
        <v>0</v>
      </c>
      <c r="AC139" s="1" t="s">
        <v>1</v>
      </c>
      <c r="AD139" s="1" t="s">
        <v>12</v>
      </c>
      <c r="AE139" s="1" t="s">
        <v>5</v>
      </c>
      <c r="AF139" s="1" t="s">
        <v>6</v>
      </c>
      <c r="AG139">
        <f t="shared" si="27"/>
        <v>0</v>
      </c>
      <c r="AJ139">
        <v>1381</v>
      </c>
      <c r="AK139" t="e">
        <f>IFERROR(AVERAGE(INDEX(Z:Z,AJ139,1):INDEX(Z:Z,AJ139+9,1)),NA())</f>
        <v>#N/A</v>
      </c>
      <c r="AL139" s="32" t="str">
        <f t="shared" si="28"/>
        <v>-</v>
      </c>
    </row>
    <row r="140" spans="27:38" hidden="1" x14ac:dyDescent="0.25">
      <c r="AA140" t="s">
        <v>522</v>
      </c>
      <c r="AB140" s="1" t="s">
        <v>1915</v>
      </c>
      <c r="AC140" s="1" t="s">
        <v>11</v>
      </c>
      <c r="AD140" s="1" t="s">
        <v>6</v>
      </c>
      <c r="AE140" s="1" t="s">
        <v>2</v>
      </c>
      <c r="AF140" s="1" t="s">
        <v>1</v>
      </c>
      <c r="AG140">
        <f t="shared" si="27"/>
        <v>0</v>
      </c>
      <c r="AJ140">
        <v>1391</v>
      </c>
      <c r="AK140" t="e">
        <f>IFERROR(AVERAGE(INDEX(Z:Z,AJ140,1):INDEX(Z:Z,AJ140+9,1)),NA())</f>
        <v>#N/A</v>
      </c>
      <c r="AL140" s="32" t="str">
        <f t="shared" si="28"/>
        <v>-</v>
      </c>
    </row>
    <row r="141" spans="27:38" hidden="1" x14ac:dyDescent="0.25">
      <c r="AA141" t="s">
        <v>1253</v>
      </c>
      <c r="AB141" s="1" t="s">
        <v>9</v>
      </c>
      <c r="AC141" s="1" t="s">
        <v>1</v>
      </c>
      <c r="AD141" s="1" t="s">
        <v>7</v>
      </c>
      <c r="AE141" s="1" t="s">
        <v>10</v>
      </c>
      <c r="AF141" s="1" t="s">
        <v>5</v>
      </c>
      <c r="AG141">
        <f t="shared" si="27"/>
        <v>0</v>
      </c>
      <c r="AJ141">
        <v>1401</v>
      </c>
      <c r="AK141" t="e">
        <f>IFERROR(AVERAGE(INDEX(Z:Z,AJ141,1):INDEX(Z:Z,AJ141+9,1)),NA())</f>
        <v>#N/A</v>
      </c>
      <c r="AL141" s="32" t="str">
        <f t="shared" si="28"/>
        <v>-</v>
      </c>
    </row>
    <row r="142" spans="27:38" hidden="1" x14ac:dyDescent="0.25">
      <c r="AA142" t="s">
        <v>1493</v>
      </c>
      <c r="AB142" s="1" t="s">
        <v>3</v>
      </c>
      <c r="AC142" s="1" t="s">
        <v>5</v>
      </c>
      <c r="AD142" s="1" t="s">
        <v>1915</v>
      </c>
      <c r="AE142" s="1" t="s">
        <v>11</v>
      </c>
      <c r="AF142" s="1" t="s">
        <v>5</v>
      </c>
      <c r="AG142">
        <f t="shared" si="27"/>
        <v>0</v>
      </c>
      <c r="AJ142">
        <v>1411</v>
      </c>
      <c r="AK142" t="e">
        <f>IFERROR(AVERAGE(INDEX(Z:Z,AJ142,1):INDEX(Z:Z,AJ142+9,1)),NA())</f>
        <v>#N/A</v>
      </c>
      <c r="AL142" s="32" t="str">
        <f t="shared" si="28"/>
        <v>-</v>
      </c>
    </row>
    <row r="143" spans="27:38" hidden="1" x14ac:dyDescent="0.25">
      <c r="AA143" t="s">
        <v>550</v>
      </c>
      <c r="AB143" s="1" t="s">
        <v>1915</v>
      </c>
      <c r="AC143" s="1" t="s">
        <v>5</v>
      </c>
      <c r="AD143" s="1" t="s">
        <v>3</v>
      </c>
      <c r="AE143" s="1" t="s">
        <v>1</v>
      </c>
      <c r="AF143" s="1" t="s">
        <v>3</v>
      </c>
      <c r="AG143">
        <f t="shared" si="27"/>
        <v>0</v>
      </c>
      <c r="AJ143">
        <v>1421</v>
      </c>
      <c r="AK143" t="e">
        <f>IFERROR(AVERAGE(INDEX(Z:Z,AJ143,1):INDEX(Z:Z,AJ143+9,1)),NA())</f>
        <v>#N/A</v>
      </c>
      <c r="AL143" s="32" t="str">
        <f t="shared" si="28"/>
        <v>-</v>
      </c>
    </row>
    <row r="144" spans="27:38" hidden="1" x14ac:dyDescent="0.25">
      <c r="AA144" t="s">
        <v>1607</v>
      </c>
      <c r="AB144" s="1" t="s">
        <v>2</v>
      </c>
      <c r="AC144" s="1" t="s">
        <v>5</v>
      </c>
      <c r="AD144" s="1" t="s">
        <v>1914</v>
      </c>
      <c r="AE144" s="1" t="s">
        <v>3</v>
      </c>
      <c r="AF144" s="1" t="s">
        <v>1</v>
      </c>
      <c r="AG144">
        <f t="shared" si="27"/>
        <v>0</v>
      </c>
      <c r="AJ144">
        <v>1431</v>
      </c>
      <c r="AK144" t="e">
        <f>IFERROR(AVERAGE(INDEX(Z:Z,AJ144,1):INDEX(Z:Z,AJ144+9,1)),NA())</f>
        <v>#N/A</v>
      </c>
      <c r="AL144" s="32" t="str">
        <f t="shared" si="28"/>
        <v>-</v>
      </c>
    </row>
    <row r="145" spans="27:38" hidden="1" x14ac:dyDescent="0.25">
      <c r="AA145" t="s">
        <v>400</v>
      </c>
      <c r="AB145" s="1" t="s">
        <v>0</v>
      </c>
      <c r="AC145" s="1" t="s">
        <v>1917</v>
      </c>
      <c r="AD145" s="1" t="s">
        <v>8</v>
      </c>
      <c r="AE145" s="1" t="s">
        <v>9</v>
      </c>
      <c r="AF145" s="1" t="s">
        <v>10</v>
      </c>
      <c r="AG145">
        <f t="shared" si="27"/>
        <v>0</v>
      </c>
      <c r="AJ145">
        <v>1441</v>
      </c>
      <c r="AK145" t="e">
        <f>IFERROR(AVERAGE(INDEX(Z:Z,AJ145,1):INDEX(Z:Z,AJ145+9,1)),NA())</f>
        <v>#N/A</v>
      </c>
      <c r="AL145" s="32" t="str">
        <f t="shared" si="28"/>
        <v>-</v>
      </c>
    </row>
    <row r="146" spans="27:38" hidden="1" x14ac:dyDescent="0.25">
      <c r="AA146" t="s">
        <v>2023</v>
      </c>
      <c r="AB146" s="1" t="s">
        <v>1</v>
      </c>
      <c r="AC146" s="1" t="s">
        <v>0</v>
      </c>
      <c r="AD146" s="1" t="s">
        <v>10</v>
      </c>
      <c r="AE146" s="1" t="s">
        <v>1915</v>
      </c>
      <c r="AF146" s="1" t="s">
        <v>1</v>
      </c>
      <c r="AG146">
        <f t="shared" si="27"/>
        <v>0</v>
      </c>
      <c r="AJ146">
        <v>1451</v>
      </c>
      <c r="AK146" t="e">
        <f>IFERROR(AVERAGE(INDEX(Z:Z,AJ146,1):INDEX(Z:Z,AJ146+9,1)),NA())</f>
        <v>#N/A</v>
      </c>
      <c r="AL146" s="32" t="str">
        <f t="shared" si="28"/>
        <v>-</v>
      </c>
    </row>
    <row r="147" spans="27:38" hidden="1" x14ac:dyDescent="0.25">
      <c r="AA147" t="s">
        <v>354</v>
      </c>
      <c r="AB147" s="1" t="s">
        <v>0</v>
      </c>
      <c r="AC147" s="1" t="s">
        <v>11</v>
      </c>
      <c r="AD147" s="1" t="s">
        <v>1915</v>
      </c>
      <c r="AE147" s="1" t="s">
        <v>3</v>
      </c>
      <c r="AF147" s="1" t="s">
        <v>5</v>
      </c>
      <c r="AG147">
        <f t="shared" si="27"/>
        <v>0</v>
      </c>
      <c r="AJ147">
        <v>1461</v>
      </c>
      <c r="AK147" t="e">
        <f>IFERROR(AVERAGE(INDEX(Z:Z,AJ147,1):INDEX(Z:Z,AJ147+9,1)),NA())</f>
        <v>#N/A</v>
      </c>
      <c r="AL147" s="32" t="str">
        <f t="shared" si="28"/>
        <v>-</v>
      </c>
    </row>
    <row r="148" spans="27:38" hidden="1" x14ac:dyDescent="0.25">
      <c r="AA148" t="s">
        <v>1807</v>
      </c>
      <c r="AB148" s="1" t="s">
        <v>1919</v>
      </c>
      <c r="AC148" s="1" t="s">
        <v>1</v>
      </c>
      <c r="AD148" s="1" t="s">
        <v>1921</v>
      </c>
      <c r="AE148" s="1" t="s">
        <v>1</v>
      </c>
      <c r="AF148" s="1" t="s">
        <v>3</v>
      </c>
      <c r="AG148">
        <f t="shared" si="27"/>
        <v>0</v>
      </c>
      <c r="AJ148">
        <v>1471</v>
      </c>
      <c r="AK148" t="e">
        <f>IFERROR(AVERAGE(INDEX(Z:Z,AJ148,1):INDEX(Z:Z,AJ148+9,1)),NA())</f>
        <v>#N/A</v>
      </c>
      <c r="AL148" s="32" t="str">
        <f t="shared" si="28"/>
        <v>-</v>
      </c>
    </row>
    <row r="149" spans="27:38" hidden="1" x14ac:dyDescent="0.25">
      <c r="AA149" t="s">
        <v>714</v>
      </c>
      <c r="AB149" s="1" t="s">
        <v>1921</v>
      </c>
      <c r="AC149" s="1" t="s">
        <v>1</v>
      </c>
      <c r="AD149" s="1" t="s">
        <v>13</v>
      </c>
      <c r="AE149" s="1" t="s">
        <v>1914</v>
      </c>
      <c r="AF149" s="1" t="s">
        <v>1</v>
      </c>
      <c r="AG149">
        <f t="shared" si="27"/>
        <v>0</v>
      </c>
      <c r="AJ149">
        <v>1481</v>
      </c>
      <c r="AK149" t="e">
        <f>IFERROR(AVERAGE(INDEX(Z:Z,AJ149,1):INDEX(Z:Z,AJ149+9,1)),NA())</f>
        <v>#N/A</v>
      </c>
      <c r="AL149" s="32" t="str">
        <f t="shared" si="28"/>
        <v>-</v>
      </c>
    </row>
    <row r="150" spans="27:38" hidden="1" x14ac:dyDescent="0.25">
      <c r="AA150" t="s">
        <v>1453</v>
      </c>
      <c r="AB150" s="1" t="s">
        <v>3</v>
      </c>
      <c r="AC150" s="1" t="s">
        <v>11</v>
      </c>
      <c r="AD150" s="1" t="s">
        <v>0</v>
      </c>
      <c r="AE150" s="1" t="s">
        <v>4</v>
      </c>
      <c r="AF150" s="1" t="s">
        <v>1</v>
      </c>
      <c r="AG150">
        <f t="shared" si="27"/>
        <v>0</v>
      </c>
      <c r="AJ150">
        <v>1491</v>
      </c>
      <c r="AK150" t="e">
        <f>IFERROR(AVERAGE(INDEX(Z:Z,AJ150,1):INDEX(Z:Z,AJ150+9,1)),NA())</f>
        <v>#N/A</v>
      </c>
      <c r="AL150" s="32" t="str">
        <f t="shared" si="28"/>
        <v>-</v>
      </c>
    </row>
    <row r="151" spans="27:38" hidden="1" x14ac:dyDescent="0.25">
      <c r="AA151" t="s">
        <v>935</v>
      </c>
      <c r="AB151" s="1" t="s">
        <v>7</v>
      </c>
      <c r="AC151" s="1" t="s">
        <v>11</v>
      </c>
      <c r="AD151" s="1" t="s">
        <v>0</v>
      </c>
      <c r="AE151" s="1" t="s">
        <v>1917</v>
      </c>
      <c r="AF151" s="1" t="s">
        <v>5</v>
      </c>
      <c r="AG151">
        <f t="shared" si="27"/>
        <v>0</v>
      </c>
      <c r="AJ151">
        <v>1501</v>
      </c>
      <c r="AK151" t="e">
        <f>IFERROR(AVERAGE(INDEX(Z:Z,AJ151,1):INDEX(Z:Z,AJ151+9,1)),NA())</f>
        <v>#N/A</v>
      </c>
      <c r="AL151" s="32" t="str">
        <f t="shared" si="28"/>
        <v>-</v>
      </c>
    </row>
    <row r="152" spans="27:38" hidden="1" x14ac:dyDescent="0.25">
      <c r="AA152" t="s">
        <v>747</v>
      </c>
      <c r="AB152" s="1" t="s">
        <v>1921</v>
      </c>
      <c r="AC152" s="1" t="s">
        <v>5</v>
      </c>
      <c r="AD152" s="1" t="s">
        <v>3</v>
      </c>
      <c r="AE152" s="1" t="s">
        <v>15</v>
      </c>
      <c r="AF152" s="1" t="s">
        <v>1</v>
      </c>
      <c r="AG152">
        <f t="shared" si="27"/>
        <v>0</v>
      </c>
      <c r="AJ152">
        <v>1511</v>
      </c>
      <c r="AK152" t="e">
        <f>IFERROR(AVERAGE(INDEX(Z:Z,AJ152,1):INDEX(Z:Z,AJ152+9,1)),NA())</f>
        <v>#N/A</v>
      </c>
      <c r="AL152" s="32" t="str">
        <f t="shared" si="28"/>
        <v>-</v>
      </c>
    </row>
    <row r="153" spans="27:38" hidden="1" x14ac:dyDescent="0.25">
      <c r="AA153" t="s">
        <v>1409</v>
      </c>
      <c r="AB153" s="1" t="s">
        <v>9</v>
      </c>
      <c r="AC153" s="1" t="s">
        <v>8</v>
      </c>
      <c r="AD153" s="1" t="s">
        <v>7</v>
      </c>
      <c r="AE153" s="1" t="s">
        <v>2</v>
      </c>
      <c r="AF153" s="1" t="s">
        <v>5</v>
      </c>
      <c r="AG153">
        <f t="shared" si="27"/>
        <v>0</v>
      </c>
      <c r="AJ153">
        <v>1521</v>
      </c>
      <c r="AK153" t="e">
        <f>IFERROR(AVERAGE(INDEX(Z:Z,AJ153,1):INDEX(Z:Z,AJ153+9,1)),NA())</f>
        <v>#N/A</v>
      </c>
      <c r="AL153" s="32" t="str">
        <f t="shared" si="28"/>
        <v>-</v>
      </c>
    </row>
    <row r="154" spans="27:38" hidden="1" x14ac:dyDescent="0.25">
      <c r="AA154" t="s">
        <v>666</v>
      </c>
      <c r="AB154" s="1" t="s">
        <v>1920</v>
      </c>
      <c r="AC154" s="1" t="s">
        <v>7</v>
      </c>
      <c r="AD154" s="1" t="s">
        <v>5</v>
      </c>
      <c r="AE154" s="1" t="s">
        <v>15</v>
      </c>
      <c r="AF154" s="1" t="s">
        <v>1</v>
      </c>
      <c r="AG154">
        <f t="shared" si="27"/>
        <v>0</v>
      </c>
      <c r="AJ154">
        <v>1531</v>
      </c>
      <c r="AK154" t="e">
        <f>IFERROR(AVERAGE(INDEX(Z:Z,AJ154,1):INDEX(Z:Z,AJ154+9,1)),NA())</f>
        <v>#N/A</v>
      </c>
      <c r="AL154" s="32" t="str">
        <f t="shared" si="28"/>
        <v>-</v>
      </c>
    </row>
    <row r="155" spans="27:38" hidden="1" x14ac:dyDescent="0.25">
      <c r="AA155" t="s">
        <v>2287</v>
      </c>
      <c r="AB155" s="1" t="s">
        <v>4</v>
      </c>
      <c r="AC155" s="1" t="s">
        <v>1</v>
      </c>
      <c r="AD155" s="1" t="s">
        <v>0</v>
      </c>
      <c r="AE155" s="1" t="s">
        <v>5</v>
      </c>
      <c r="AF155" s="1" t="s">
        <v>6</v>
      </c>
      <c r="AG155">
        <f t="shared" si="27"/>
        <v>0</v>
      </c>
      <c r="AJ155">
        <v>1541</v>
      </c>
      <c r="AK155" t="e">
        <f>IFERROR(AVERAGE(INDEX(Z:Z,AJ155,1):INDEX(Z:Z,AJ155+9,1)),NA())</f>
        <v>#N/A</v>
      </c>
      <c r="AL155" s="32" t="str">
        <f t="shared" si="28"/>
        <v>-</v>
      </c>
    </row>
    <row r="156" spans="27:38" hidden="1" x14ac:dyDescent="0.25">
      <c r="AA156" t="s">
        <v>2010</v>
      </c>
      <c r="AB156" s="1" t="s">
        <v>7</v>
      </c>
      <c r="AC156" s="1" t="s">
        <v>1</v>
      </c>
      <c r="AD156" s="1" t="s">
        <v>4</v>
      </c>
      <c r="AE156" s="1" t="s">
        <v>11</v>
      </c>
      <c r="AF156" s="1" t="s">
        <v>1922</v>
      </c>
      <c r="AG156">
        <f t="shared" si="27"/>
        <v>0</v>
      </c>
      <c r="AJ156">
        <v>1551</v>
      </c>
      <c r="AK156" t="e">
        <f>IFERROR(AVERAGE(INDEX(Z:Z,AJ156,1):INDEX(Z:Z,AJ156+9,1)),NA())</f>
        <v>#N/A</v>
      </c>
      <c r="AL156" s="32" t="str">
        <f t="shared" si="28"/>
        <v>-</v>
      </c>
    </row>
    <row r="157" spans="27:38" hidden="1" x14ac:dyDescent="0.25">
      <c r="AA157" t="s">
        <v>958</v>
      </c>
      <c r="AB157" s="1" t="s">
        <v>7</v>
      </c>
      <c r="AC157" s="1" t="s">
        <v>10</v>
      </c>
      <c r="AD157" s="1" t="s">
        <v>1915</v>
      </c>
      <c r="AE157" s="1" t="s">
        <v>10</v>
      </c>
      <c r="AF157" s="1" t="s">
        <v>1</v>
      </c>
      <c r="AG157">
        <f t="shared" si="27"/>
        <v>0</v>
      </c>
      <c r="AJ157">
        <v>1561</v>
      </c>
      <c r="AK157" t="e">
        <f>IFERROR(AVERAGE(INDEX(Z:Z,AJ157,1):INDEX(Z:Z,AJ157+9,1)),NA())</f>
        <v>#N/A</v>
      </c>
      <c r="AL157" s="32" t="str">
        <f t="shared" si="28"/>
        <v>-</v>
      </c>
    </row>
    <row r="158" spans="27:38" hidden="1" x14ac:dyDescent="0.25">
      <c r="AA158" t="s">
        <v>467</v>
      </c>
      <c r="AB158" s="1" t="s">
        <v>0</v>
      </c>
      <c r="AC158" s="1" t="s">
        <v>3</v>
      </c>
      <c r="AD158" s="1" t="s">
        <v>1</v>
      </c>
      <c r="AE158" s="1" t="s">
        <v>2</v>
      </c>
      <c r="AF158" s="1" t="s">
        <v>5</v>
      </c>
      <c r="AG158">
        <f t="shared" si="27"/>
        <v>0</v>
      </c>
      <c r="AJ158">
        <v>1571</v>
      </c>
      <c r="AK158" t="e">
        <f>IFERROR(AVERAGE(INDEX(Z:Z,AJ158,1):INDEX(Z:Z,AJ158+9,1)),NA())</f>
        <v>#N/A</v>
      </c>
      <c r="AL158" s="32" t="str">
        <f t="shared" si="28"/>
        <v>-</v>
      </c>
    </row>
    <row r="159" spans="27:38" hidden="1" x14ac:dyDescent="0.25">
      <c r="AA159" t="s">
        <v>176</v>
      </c>
      <c r="AB159" s="1" t="s">
        <v>1914</v>
      </c>
      <c r="AC159" s="1" t="s">
        <v>1</v>
      </c>
      <c r="AD159" s="1" t="s">
        <v>3</v>
      </c>
      <c r="AE159" s="1" t="s">
        <v>1914</v>
      </c>
      <c r="AF159" s="1" t="s">
        <v>5</v>
      </c>
      <c r="AG159">
        <f t="shared" si="27"/>
        <v>0</v>
      </c>
      <c r="AJ159">
        <v>1581</v>
      </c>
      <c r="AK159" t="e">
        <f>IFERROR(AVERAGE(INDEX(Z:Z,AJ159,1):INDEX(Z:Z,AJ159+9,1)),NA())</f>
        <v>#N/A</v>
      </c>
      <c r="AL159" s="32" t="str">
        <f t="shared" si="28"/>
        <v>-</v>
      </c>
    </row>
    <row r="160" spans="27:38" hidden="1" x14ac:dyDescent="0.25">
      <c r="AA160" t="s">
        <v>721</v>
      </c>
      <c r="AB160" s="1" t="s">
        <v>1921</v>
      </c>
      <c r="AC160" s="1" t="s">
        <v>1</v>
      </c>
      <c r="AD160" s="1" t="s">
        <v>3</v>
      </c>
      <c r="AE160" s="1" t="s">
        <v>3</v>
      </c>
      <c r="AF160" s="1" t="s">
        <v>1</v>
      </c>
      <c r="AG160">
        <f t="shared" si="27"/>
        <v>0</v>
      </c>
      <c r="AJ160">
        <v>1591</v>
      </c>
      <c r="AK160" t="e">
        <f>IFERROR(AVERAGE(INDEX(Z:Z,AJ160,1):INDEX(Z:Z,AJ160+9,1)),NA())</f>
        <v>#N/A</v>
      </c>
      <c r="AL160" s="32" t="str">
        <f t="shared" si="28"/>
        <v>-</v>
      </c>
    </row>
    <row r="161" spans="27:38" hidden="1" x14ac:dyDescent="0.25">
      <c r="AA161" t="s">
        <v>207</v>
      </c>
      <c r="AB161" s="1" t="s">
        <v>1914</v>
      </c>
      <c r="AC161" s="1" t="s">
        <v>10</v>
      </c>
      <c r="AD161" s="1" t="s">
        <v>0</v>
      </c>
      <c r="AE161" s="1" t="s">
        <v>1917</v>
      </c>
      <c r="AF161" s="1" t="s">
        <v>5</v>
      </c>
      <c r="AG161">
        <f t="shared" si="27"/>
        <v>0</v>
      </c>
      <c r="AJ161">
        <v>1601</v>
      </c>
      <c r="AK161" t="e">
        <f>IFERROR(AVERAGE(INDEX(Z:Z,AJ161,1):INDEX(Z:Z,AJ161+9,1)),NA())</f>
        <v>#N/A</v>
      </c>
      <c r="AL161" s="32" t="str">
        <f t="shared" si="28"/>
        <v>-</v>
      </c>
    </row>
    <row r="162" spans="27:38" hidden="1" x14ac:dyDescent="0.25">
      <c r="AA162" t="s">
        <v>781</v>
      </c>
      <c r="AB162" s="1" t="s">
        <v>1921</v>
      </c>
      <c r="AC162" s="1" t="s">
        <v>8</v>
      </c>
      <c r="AD162" s="1" t="s">
        <v>1</v>
      </c>
      <c r="AE162" s="1" t="s">
        <v>6</v>
      </c>
      <c r="AF162" s="1" t="s">
        <v>5</v>
      </c>
      <c r="AG162">
        <f t="shared" si="27"/>
        <v>0</v>
      </c>
      <c r="AJ162">
        <v>1611</v>
      </c>
      <c r="AK162" t="e">
        <f>IFERROR(AVERAGE(INDEX(Z:Z,AJ162,1):INDEX(Z:Z,AJ162+9,1)),NA())</f>
        <v>#N/A</v>
      </c>
      <c r="AL162" s="32" t="str">
        <f t="shared" si="28"/>
        <v>-</v>
      </c>
    </row>
    <row r="163" spans="27:38" hidden="1" x14ac:dyDescent="0.25">
      <c r="AA163" t="s">
        <v>878</v>
      </c>
      <c r="AB163" s="1" t="s">
        <v>15</v>
      </c>
      <c r="AC163" s="1" t="s">
        <v>1</v>
      </c>
      <c r="AD163" s="1" t="s">
        <v>7</v>
      </c>
      <c r="AE163" s="1" t="s">
        <v>11</v>
      </c>
      <c r="AF163" s="1" t="s">
        <v>1</v>
      </c>
      <c r="AG163">
        <f t="shared" si="27"/>
        <v>0</v>
      </c>
      <c r="AJ163">
        <v>1621</v>
      </c>
      <c r="AK163" t="e">
        <f>IFERROR(AVERAGE(INDEX(Z:Z,AJ163,1):INDEX(Z:Z,AJ163+9,1)),NA())</f>
        <v>#N/A</v>
      </c>
      <c r="AL163" s="32" t="str">
        <f t="shared" si="28"/>
        <v>-</v>
      </c>
    </row>
    <row r="164" spans="27:38" hidden="1" x14ac:dyDescent="0.25">
      <c r="AA164" t="s">
        <v>1131</v>
      </c>
      <c r="AB164" s="1" t="s">
        <v>13</v>
      </c>
      <c r="AC164" s="1" t="s">
        <v>8</v>
      </c>
      <c r="AD164" s="1" t="s">
        <v>3</v>
      </c>
      <c r="AE164" s="1" t="s">
        <v>1921</v>
      </c>
      <c r="AF164" s="1" t="s">
        <v>1</v>
      </c>
      <c r="AG164">
        <f t="shared" si="27"/>
        <v>0</v>
      </c>
      <c r="AJ164">
        <v>1631</v>
      </c>
      <c r="AK164" t="e">
        <f>IFERROR(AVERAGE(INDEX(Z:Z,AJ164,1):INDEX(Z:Z,AJ164+9,1)),NA())</f>
        <v>#N/A</v>
      </c>
      <c r="AL164" s="32" t="str">
        <f t="shared" si="28"/>
        <v>-</v>
      </c>
    </row>
    <row r="165" spans="27:38" hidden="1" x14ac:dyDescent="0.25">
      <c r="AA165" t="s">
        <v>1722</v>
      </c>
      <c r="AB165" s="1" t="s">
        <v>4</v>
      </c>
      <c r="AC165" s="1" t="s">
        <v>5</v>
      </c>
      <c r="AD165" s="1" t="s">
        <v>0</v>
      </c>
      <c r="AE165" s="1" t="s">
        <v>1917</v>
      </c>
      <c r="AF165" s="1" t="s">
        <v>1</v>
      </c>
      <c r="AG165">
        <f t="shared" si="27"/>
        <v>0</v>
      </c>
      <c r="AJ165">
        <v>1641</v>
      </c>
      <c r="AK165" t="e">
        <f>IFERROR(AVERAGE(INDEX(Z:Z,AJ165,1):INDEX(Z:Z,AJ165+9,1)),NA())</f>
        <v>#N/A</v>
      </c>
      <c r="AL165" s="32" t="str">
        <f t="shared" si="28"/>
        <v>-</v>
      </c>
    </row>
    <row r="166" spans="27:38" hidden="1" x14ac:dyDescent="0.25">
      <c r="AA166" t="s">
        <v>1773</v>
      </c>
      <c r="AB166" s="1" t="s">
        <v>4</v>
      </c>
      <c r="AC166" s="1" t="s">
        <v>3</v>
      </c>
      <c r="AD166" s="1" t="s">
        <v>5</v>
      </c>
      <c r="AE166" s="1" t="s">
        <v>9</v>
      </c>
      <c r="AF166" s="1" t="s">
        <v>1</v>
      </c>
      <c r="AG166">
        <f t="shared" si="27"/>
        <v>0</v>
      </c>
      <c r="AJ166">
        <v>1651</v>
      </c>
      <c r="AK166" t="e">
        <f>IFERROR(AVERAGE(INDEX(Z:Z,AJ166,1):INDEX(Z:Z,AJ166+9,1)),NA())</f>
        <v>#N/A</v>
      </c>
      <c r="AL166" s="32" t="str">
        <f t="shared" si="28"/>
        <v>-</v>
      </c>
    </row>
    <row r="167" spans="27:38" hidden="1" x14ac:dyDescent="0.25">
      <c r="AA167" t="s">
        <v>1038</v>
      </c>
      <c r="AB167" s="1" t="s">
        <v>13</v>
      </c>
      <c r="AC167" s="1" t="s">
        <v>1</v>
      </c>
      <c r="AD167" s="1" t="s">
        <v>3</v>
      </c>
      <c r="AE167" s="1" t="s">
        <v>12</v>
      </c>
      <c r="AF167" s="1" t="s">
        <v>5</v>
      </c>
      <c r="AG167">
        <f t="shared" si="27"/>
        <v>0</v>
      </c>
      <c r="AJ167">
        <v>1661</v>
      </c>
      <c r="AK167" t="e">
        <f>IFERROR(AVERAGE(INDEX(Z:Z,AJ167,1):INDEX(Z:Z,AJ167+9,1)),NA())</f>
        <v>#N/A</v>
      </c>
      <c r="AL167" s="32" t="str">
        <f t="shared" si="28"/>
        <v>-</v>
      </c>
    </row>
    <row r="168" spans="27:38" hidden="1" x14ac:dyDescent="0.25">
      <c r="AA168" t="s">
        <v>1588</v>
      </c>
      <c r="AB168" s="1" t="s">
        <v>2</v>
      </c>
      <c r="AC168" s="1" t="s">
        <v>10</v>
      </c>
      <c r="AD168" s="1" t="s">
        <v>11</v>
      </c>
      <c r="AE168" s="1" t="s">
        <v>2</v>
      </c>
      <c r="AF168" s="1" t="s">
        <v>5</v>
      </c>
      <c r="AG168">
        <f t="shared" si="27"/>
        <v>0</v>
      </c>
      <c r="AJ168">
        <v>1671</v>
      </c>
      <c r="AK168" t="e">
        <f>IFERROR(AVERAGE(INDEX(Z:Z,AJ168,1):INDEX(Z:Z,AJ168+9,1)),NA())</f>
        <v>#N/A</v>
      </c>
      <c r="AL168" s="32" t="str">
        <f t="shared" si="28"/>
        <v>-</v>
      </c>
    </row>
    <row r="169" spans="27:38" hidden="1" x14ac:dyDescent="0.25">
      <c r="AA169" t="s">
        <v>164</v>
      </c>
      <c r="AB169" s="1" t="s">
        <v>1914</v>
      </c>
      <c r="AC169" s="1" t="s">
        <v>1</v>
      </c>
      <c r="AD169" s="1" t="s">
        <v>7</v>
      </c>
      <c r="AE169" s="1" t="s">
        <v>1915</v>
      </c>
      <c r="AF169" s="1" t="s">
        <v>1</v>
      </c>
      <c r="AG169">
        <f t="shared" si="27"/>
        <v>0</v>
      </c>
      <c r="AJ169">
        <v>1681</v>
      </c>
      <c r="AK169" t="e">
        <f>IFERROR(AVERAGE(INDEX(Z:Z,AJ169,1):INDEX(Z:Z,AJ169+9,1)),NA())</f>
        <v>#N/A</v>
      </c>
      <c r="AL169" s="32" t="str">
        <f t="shared" si="28"/>
        <v>-</v>
      </c>
    </row>
    <row r="170" spans="27:38" hidden="1" x14ac:dyDescent="0.25">
      <c r="AA170" t="s">
        <v>2220</v>
      </c>
      <c r="AB170" s="1" t="s">
        <v>1914</v>
      </c>
      <c r="AC170" s="1" t="s">
        <v>1</v>
      </c>
      <c r="AD170" s="1" t="s">
        <v>3</v>
      </c>
      <c r="AE170" s="1" t="s">
        <v>5</v>
      </c>
      <c r="AF170" s="1" t="s">
        <v>6</v>
      </c>
      <c r="AG170">
        <f t="shared" si="27"/>
        <v>0</v>
      </c>
      <c r="AJ170">
        <v>1691</v>
      </c>
      <c r="AK170" t="e">
        <f>IFERROR(AVERAGE(INDEX(Z:Z,AJ170,1):INDEX(Z:Z,AJ170+9,1)),NA())</f>
        <v>#N/A</v>
      </c>
      <c r="AL170" s="32" t="str">
        <f t="shared" si="28"/>
        <v>-</v>
      </c>
    </row>
    <row r="171" spans="27:38" hidden="1" x14ac:dyDescent="0.25">
      <c r="AA171" t="s">
        <v>1651</v>
      </c>
      <c r="AB171" s="1" t="s">
        <v>4</v>
      </c>
      <c r="AC171" s="1" t="s">
        <v>1</v>
      </c>
      <c r="AD171" s="1" t="s">
        <v>7</v>
      </c>
      <c r="AE171" s="1" t="s">
        <v>7</v>
      </c>
      <c r="AF171" s="1" t="s">
        <v>1</v>
      </c>
      <c r="AG171">
        <f t="shared" si="27"/>
        <v>0</v>
      </c>
      <c r="AJ171">
        <v>1701</v>
      </c>
      <c r="AK171" t="e">
        <f>IFERROR(AVERAGE(INDEX(Z:Z,AJ171,1):INDEX(Z:Z,AJ171+9,1)),NA())</f>
        <v>#N/A</v>
      </c>
      <c r="AL171" s="32" t="str">
        <f t="shared" si="28"/>
        <v>-</v>
      </c>
    </row>
    <row r="172" spans="27:38" hidden="1" x14ac:dyDescent="0.25">
      <c r="AA172" t="s">
        <v>590</v>
      </c>
      <c r="AB172" s="1" t="s">
        <v>11</v>
      </c>
      <c r="AC172" s="1" t="s">
        <v>3</v>
      </c>
      <c r="AD172" s="1" t="s">
        <v>10</v>
      </c>
      <c r="AE172" s="1" t="s">
        <v>1</v>
      </c>
      <c r="AF172" s="1" t="s">
        <v>7</v>
      </c>
      <c r="AG172">
        <f t="shared" si="27"/>
        <v>0</v>
      </c>
      <c r="AJ172">
        <v>1711</v>
      </c>
      <c r="AK172" t="e">
        <f>IFERROR(AVERAGE(INDEX(Z:Z,AJ172,1):INDEX(Z:Z,AJ172+9,1)),NA())</f>
        <v>#N/A</v>
      </c>
      <c r="AL172" s="32" t="str">
        <f t="shared" si="28"/>
        <v>-</v>
      </c>
    </row>
    <row r="173" spans="27:38" hidden="1" x14ac:dyDescent="0.25">
      <c r="AA173" t="s">
        <v>502</v>
      </c>
      <c r="AB173" s="1" t="s">
        <v>0</v>
      </c>
      <c r="AC173" s="1" t="s">
        <v>8</v>
      </c>
      <c r="AD173" s="1" t="s">
        <v>3</v>
      </c>
      <c r="AE173" s="1" t="s">
        <v>2</v>
      </c>
      <c r="AF173" s="1" t="s">
        <v>5</v>
      </c>
      <c r="AG173">
        <f t="shared" si="27"/>
        <v>0</v>
      </c>
      <c r="AJ173">
        <v>1721</v>
      </c>
      <c r="AK173" t="e">
        <f>IFERROR(AVERAGE(INDEX(Z:Z,AJ173,1):INDEX(Z:Z,AJ173+9,1)),NA())</f>
        <v>#N/A</v>
      </c>
      <c r="AL173" s="32" t="str">
        <f t="shared" si="28"/>
        <v>-</v>
      </c>
    </row>
    <row r="174" spans="27:38" hidden="1" x14ac:dyDescent="0.25">
      <c r="AA174" t="s">
        <v>741</v>
      </c>
      <c r="AB174" s="1" t="s">
        <v>1921</v>
      </c>
      <c r="AC174" s="1" t="s">
        <v>5</v>
      </c>
      <c r="AD174" s="1" t="s">
        <v>7</v>
      </c>
      <c r="AE174" s="1" t="s">
        <v>11</v>
      </c>
      <c r="AF174" s="1" t="s">
        <v>2</v>
      </c>
      <c r="AG174">
        <f t="shared" si="27"/>
        <v>0</v>
      </c>
      <c r="AJ174">
        <v>1731</v>
      </c>
      <c r="AK174" t="e">
        <f>IFERROR(AVERAGE(INDEX(Z:Z,AJ174,1):INDEX(Z:Z,AJ174+9,1)),NA())</f>
        <v>#N/A</v>
      </c>
      <c r="AL174" s="32" t="str">
        <f t="shared" si="28"/>
        <v>-</v>
      </c>
    </row>
    <row r="175" spans="27:38" hidden="1" x14ac:dyDescent="0.25">
      <c r="AA175" t="s">
        <v>1202</v>
      </c>
      <c r="AB175" s="1" t="s">
        <v>5</v>
      </c>
      <c r="AC175" s="1" t="s">
        <v>1914</v>
      </c>
      <c r="AD175" s="1" t="s">
        <v>1919</v>
      </c>
      <c r="AE175" s="1" t="s">
        <v>10</v>
      </c>
      <c r="AF175" s="1" t="s">
        <v>5</v>
      </c>
      <c r="AG175">
        <f t="shared" si="27"/>
        <v>0</v>
      </c>
      <c r="AJ175">
        <v>1741</v>
      </c>
      <c r="AK175" t="e">
        <f>IFERROR(AVERAGE(INDEX(Z:Z,AJ175,1):INDEX(Z:Z,AJ175+9,1)),NA())</f>
        <v>#N/A</v>
      </c>
      <c r="AL175" s="32" t="str">
        <f t="shared" si="28"/>
        <v>-</v>
      </c>
    </row>
    <row r="176" spans="27:38" hidden="1" x14ac:dyDescent="0.25">
      <c r="AA176" t="s">
        <v>135</v>
      </c>
      <c r="AB176" s="1" t="s">
        <v>1</v>
      </c>
      <c r="AC176" s="1" t="s">
        <v>4</v>
      </c>
      <c r="AD176" s="1" t="s">
        <v>3</v>
      </c>
      <c r="AE176" s="1" t="s">
        <v>10</v>
      </c>
      <c r="AF176" s="1" t="s">
        <v>7</v>
      </c>
      <c r="AG176">
        <f t="shared" si="27"/>
        <v>0</v>
      </c>
      <c r="AJ176">
        <v>1751</v>
      </c>
      <c r="AK176" t="e">
        <f>IFERROR(AVERAGE(INDEX(Z:Z,AJ176,1):INDEX(Z:Z,AJ176+9,1)),NA())</f>
        <v>#N/A</v>
      </c>
      <c r="AL176" s="32" t="str">
        <f t="shared" si="28"/>
        <v>-</v>
      </c>
    </row>
    <row r="177" spans="27:38" hidden="1" x14ac:dyDescent="0.25">
      <c r="AA177" t="s">
        <v>506</v>
      </c>
      <c r="AB177" s="1" t="s">
        <v>0</v>
      </c>
      <c r="AC177" s="1" t="s">
        <v>8</v>
      </c>
      <c r="AD177" s="1" t="s">
        <v>4</v>
      </c>
      <c r="AE177" s="1" t="s">
        <v>3</v>
      </c>
      <c r="AF177" s="1" t="s">
        <v>11</v>
      </c>
      <c r="AG177">
        <f t="shared" si="27"/>
        <v>0</v>
      </c>
      <c r="AJ177">
        <v>1761</v>
      </c>
      <c r="AK177" t="e">
        <f>IFERROR(AVERAGE(INDEX(Z:Z,AJ177,1):INDEX(Z:Z,AJ177+9,1)),NA())</f>
        <v>#N/A</v>
      </c>
      <c r="AL177" s="32" t="str">
        <f t="shared" si="28"/>
        <v>-</v>
      </c>
    </row>
    <row r="178" spans="27:38" hidden="1" x14ac:dyDescent="0.25">
      <c r="AA178" t="s">
        <v>1775</v>
      </c>
      <c r="AB178" s="1" t="s">
        <v>4</v>
      </c>
      <c r="AC178" s="1" t="s">
        <v>3</v>
      </c>
      <c r="AD178" s="1" t="s">
        <v>5</v>
      </c>
      <c r="AE178" s="1" t="s">
        <v>12</v>
      </c>
      <c r="AF178" s="1" t="s">
        <v>5</v>
      </c>
      <c r="AG178">
        <f t="shared" si="27"/>
        <v>0</v>
      </c>
      <c r="AJ178">
        <v>1771</v>
      </c>
      <c r="AK178" t="e">
        <f>IFERROR(AVERAGE(INDEX(Z:Z,AJ178,1):INDEX(Z:Z,AJ178+9,1)),NA())</f>
        <v>#N/A</v>
      </c>
      <c r="AL178" s="32" t="str">
        <f t="shared" si="28"/>
        <v>-</v>
      </c>
    </row>
    <row r="179" spans="27:38" hidden="1" x14ac:dyDescent="0.25">
      <c r="AA179" t="s">
        <v>879</v>
      </c>
      <c r="AB179" s="1" t="s">
        <v>15</v>
      </c>
      <c r="AC179" s="1" t="s">
        <v>1</v>
      </c>
      <c r="AD179" s="1" t="s">
        <v>7</v>
      </c>
      <c r="AE179" s="1" t="s">
        <v>11</v>
      </c>
      <c r="AF179" s="1" t="s">
        <v>5</v>
      </c>
      <c r="AG179">
        <f t="shared" si="27"/>
        <v>0</v>
      </c>
      <c r="AJ179">
        <v>1781</v>
      </c>
      <c r="AK179" t="e">
        <f>IFERROR(AVERAGE(INDEX(Z:Z,AJ179,1):INDEX(Z:Z,AJ179+9,1)),NA())</f>
        <v>#N/A</v>
      </c>
      <c r="AL179" s="32" t="str">
        <f t="shared" si="28"/>
        <v>-</v>
      </c>
    </row>
    <row r="180" spans="27:38" hidden="1" x14ac:dyDescent="0.25">
      <c r="AA180" t="s">
        <v>1786</v>
      </c>
      <c r="AB180" s="1" t="s">
        <v>4</v>
      </c>
      <c r="AC180" s="1" t="s">
        <v>8</v>
      </c>
      <c r="AD180" s="1" t="s">
        <v>3</v>
      </c>
      <c r="AE180" s="1" t="s">
        <v>6</v>
      </c>
      <c r="AF180" s="1" t="s">
        <v>5</v>
      </c>
      <c r="AG180">
        <f t="shared" si="27"/>
        <v>0</v>
      </c>
      <c r="AJ180">
        <v>1791</v>
      </c>
      <c r="AK180" t="e">
        <f>IFERROR(AVERAGE(INDEX(Z:Z,AJ180,1):INDEX(Z:Z,AJ180+9,1)),NA())</f>
        <v>#N/A</v>
      </c>
      <c r="AL180" s="32" t="str">
        <f t="shared" si="28"/>
        <v>-</v>
      </c>
    </row>
    <row r="181" spans="27:38" hidden="1" x14ac:dyDescent="0.25">
      <c r="AA181" t="s">
        <v>338</v>
      </c>
      <c r="AB181" s="1" t="s">
        <v>0</v>
      </c>
      <c r="AC181" s="1" t="s">
        <v>1</v>
      </c>
      <c r="AD181" s="1" t="s">
        <v>2</v>
      </c>
      <c r="AE181" s="1" t="s">
        <v>9</v>
      </c>
      <c r="AF181" s="1" t="s">
        <v>1</v>
      </c>
      <c r="AG181">
        <f t="shared" si="27"/>
        <v>0</v>
      </c>
      <c r="AJ181">
        <v>1801</v>
      </c>
      <c r="AK181" t="e">
        <f>IFERROR(AVERAGE(INDEX(Z:Z,AJ181,1):INDEX(Z:Z,AJ181+9,1)),NA())</f>
        <v>#N/A</v>
      </c>
      <c r="AL181" s="32" t="str">
        <f t="shared" si="28"/>
        <v>-</v>
      </c>
    </row>
    <row r="182" spans="27:38" hidden="1" x14ac:dyDescent="0.25">
      <c r="AA182" t="s">
        <v>1037</v>
      </c>
      <c r="AB182" s="1" t="s">
        <v>13</v>
      </c>
      <c r="AC182" s="1" t="s">
        <v>1</v>
      </c>
      <c r="AD182" s="1" t="s">
        <v>3</v>
      </c>
      <c r="AE182" s="1" t="s">
        <v>4</v>
      </c>
      <c r="AF182" s="1" t="s">
        <v>11</v>
      </c>
      <c r="AG182">
        <f t="shared" si="27"/>
        <v>0</v>
      </c>
      <c r="AJ182">
        <v>1811</v>
      </c>
      <c r="AK182" t="e">
        <f>IFERROR(AVERAGE(INDEX(Z:Z,AJ182,1):INDEX(Z:Z,AJ182+9,1)),NA())</f>
        <v>#N/A</v>
      </c>
      <c r="AL182" s="32" t="str">
        <f t="shared" si="28"/>
        <v>-</v>
      </c>
    </row>
    <row r="183" spans="27:38" hidden="1" x14ac:dyDescent="0.25">
      <c r="AA183" t="s">
        <v>851</v>
      </c>
      <c r="AB183" s="1" t="s">
        <v>1917</v>
      </c>
      <c r="AC183" s="1" t="s">
        <v>8</v>
      </c>
      <c r="AD183" s="1" t="s">
        <v>7</v>
      </c>
      <c r="AE183" s="1" t="s">
        <v>7</v>
      </c>
      <c r="AF183" s="1" t="s">
        <v>1</v>
      </c>
      <c r="AG183">
        <f t="shared" si="27"/>
        <v>0</v>
      </c>
      <c r="AJ183">
        <v>1821</v>
      </c>
      <c r="AK183" t="e">
        <f>IFERROR(AVERAGE(INDEX(Z:Z,AJ183,1):INDEX(Z:Z,AJ183+9,1)),NA())</f>
        <v>#N/A</v>
      </c>
      <c r="AL183" s="32" t="str">
        <f t="shared" si="28"/>
        <v>-</v>
      </c>
    </row>
    <row r="184" spans="27:38" hidden="1" x14ac:dyDescent="0.25">
      <c r="AA184" t="s">
        <v>752</v>
      </c>
      <c r="AB184" s="1" t="s">
        <v>1921</v>
      </c>
      <c r="AC184" s="1" t="s">
        <v>5</v>
      </c>
      <c r="AD184" s="1" t="s">
        <v>12</v>
      </c>
      <c r="AE184" s="1" t="s">
        <v>6</v>
      </c>
      <c r="AF184" s="1" t="s">
        <v>11</v>
      </c>
      <c r="AG184">
        <f t="shared" si="27"/>
        <v>0</v>
      </c>
      <c r="AJ184">
        <v>1831</v>
      </c>
      <c r="AK184" t="e">
        <f>IFERROR(AVERAGE(INDEX(Z:Z,AJ184,1):INDEX(Z:Z,AJ184+9,1)),NA())</f>
        <v>#N/A</v>
      </c>
      <c r="AL184" s="32" t="str">
        <f t="shared" si="28"/>
        <v>-</v>
      </c>
    </row>
    <row r="185" spans="27:38" hidden="1" x14ac:dyDescent="0.25">
      <c r="AA185" t="s">
        <v>844</v>
      </c>
      <c r="AB185" s="1" t="s">
        <v>1917</v>
      </c>
      <c r="AC185" s="1" t="s">
        <v>8</v>
      </c>
      <c r="AD185" s="1" t="s">
        <v>11</v>
      </c>
      <c r="AE185" s="1" t="s">
        <v>0</v>
      </c>
      <c r="AF185" s="1" t="s">
        <v>1</v>
      </c>
      <c r="AG185">
        <f t="shared" si="27"/>
        <v>0</v>
      </c>
      <c r="AJ185">
        <v>1841</v>
      </c>
      <c r="AK185" t="e">
        <f>IFERROR(AVERAGE(INDEX(Z:Z,AJ185,1):INDEX(Z:Z,AJ185+9,1)),NA())</f>
        <v>#N/A</v>
      </c>
      <c r="AL185" s="32" t="str">
        <f t="shared" si="28"/>
        <v>-</v>
      </c>
    </row>
    <row r="186" spans="27:38" hidden="1" x14ac:dyDescent="0.25">
      <c r="AA186" t="s">
        <v>1110</v>
      </c>
      <c r="AB186" s="1" t="s">
        <v>13</v>
      </c>
      <c r="AC186" s="1" t="s">
        <v>5</v>
      </c>
      <c r="AD186" s="1" t="s">
        <v>3</v>
      </c>
      <c r="AE186" s="1" t="s">
        <v>10</v>
      </c>
      <c r="AF186" s="1" t="s">
        <v>3</v>
      </c>
      <c r="AG186">
        <f t="shared" si="27"/>
        <v>0</v>
      </c>
      <c r="AJ186">
        <v>1851</v>
      </c>
      <c r="AK186" t="e">
        <f>IFERROR(AVERAGE(INDEX(Z:Z,AJ186,1):INDEX(Z:Z,AJ186+9,1)),NA())</f>
        <v>#N/A</v>
      </c>
      <c r="AL186" s="32" t="str">
        <f t="shared" si="28"/>
        <v>-</v>
      </c>
    </row>
    <row r="187" spans="27:38" hidden="1" x14ac:dyDescent="0.25">
      <c r="AA187" t="s">
        <v>567</v>
      </c>
      <c r="AB187" s="1" t="s">
        <v>1915</v>
      </c>
      <c r="AC187" s="1" t="s">
        <v>8</v>
      </c>
      <c r="AD187" s="1" t="s">
        <v>11</v>
      </c>
      <c r="AE187" s="1" t="s">
        <v>4</v>
      </c>
      <c r="AF187" s="1" t="s">
        <v>5</v>
      </c>
      <c r="AG187">
        <f t="shared" si="27"/>
        <v>0</v>
      </c>
      <c r="AJ187">
        <v>1861</v>
      </c>
      <c r="AK187" t="e">
        <f>IFERROR(AVERAGE(INDEX(Z:Z,AJ187,1):INDEX(Z:Z,AJ187+9,1)),NA())</f>
        <v>#N/A</v>
      </c>
      <c r="AL187" s="32" t="str">
        <f t="shared" si="28"/>
        <v>-</v>
      </c>
    </row>
    <row r="188" spans="27:38" hidden="1" x14ac:dyDescent="0.25">
      <c r="AA188" t="s">
        <v>1181</v>
      </c>
      <c r="AB188" s="1" t="s">
        <v>6</v>
      </c>
      <c r="AC188" s="1" t="s">
        <v>5</v>
      </c>
      <c r="AD188" s="1" t="s">
        <v>3</v>
      </c>
      <c r="AE188" s="1" t="s">
        <v>13</v>
      </c>
      <c r="AF188" s="1" t="s">
        <v>1</v>
      </c>
      <c r="AG188">
        <f t="shared" si="27"/>
        <v>0</v>
      </c>
      <c r="AJ188">
        <v>1871</v>
      </c>
      <c r="AK188" t="e">
        <f>IFERROR(AVERAGE(INDEX(Z:Z,AJ188,1):INDEX(Z:Z,AJ188+9,1)),NA())</f>
        <v>#N/A</v>
      </c>
      <c r="AL188" s="32" t="str">
        <f t="shared" si="28"/>
        <v>-</v>
      </c>
    </row>
    <row r="189" spans="27:38" hidden="1" x14ac:dyDescent="0.25">
      <c r="AA189" t="s">
        <v>1796</v>
      </c>
      <c r="AB189" s="1" t="s">
        <v>8</v>
      </c>
      <c r="AC189" s="1" t="s">
        <v>6</v>
      </c>
      <c r="AD189" s="1" t="s">
        <v>1921</v>
      </c>
      <c r="AE189" s="1" t="s">
        <v>10</v>
      </c>
      <c r="AF189" s="1" t="s">
        <v>3</v>
      </c>
      <c r="AG189">
        <f t="shared" si="27"/>
        <v>0</v>
      </c>
      <c r="AJ189">
        <v>1881</v>
      </c>
      <c r="AK189" t="e">
        <f>IFERROR(AVERAGE(INDEX(Z:Z,AJ189,1):INDEX(Z:Z,AJ189+9,1)),NA())</f>
        <v>#N/A</v>
      </c>
      <c r="AL189" s="32" t="str">
        <f t="shared" si="28"/>
        <v>-</v>
      </c>
    </row>
    <row r="190" spans="27:38" hidden="1" x14ac:dyDescent="0.25">
      <c r="AA190" t="s">
        <v>1420</v>
      </c>
      <c r="AB190" s="1" t="s">
        <v>1923</v>
      </c>
      <c r="AC190" s="1" t="s">
        <v>8</v>
      </c>
      <c r="AD190" s="1" t="s">
        <v>11</v>
      </c>
      <c r="AE190" s="1" t="s">
        <v>13</v>
      </c>
      <c r="AF190" s="1" t="s">
        <v>1</v>
      </c>
      <c r="AG190">
        <f t="shared" si="27"/>
        <v>0</v>
      </c>
      <c r="AJ190">
        <v>1891</v>
      </c>
      <c r="AK190" t="e">
        <f>IFERROR(AVERAGE(INDEX(Z:Z,AJ190,1):INDEX(Z:Z,AJ190+9,1)),NA())</f>
        <v>#N/A</v>
      </c>
      <c r="AL190" s="32" t="str">
        <f t="shared" si="28"/>
        <v>-</v>
      </c>
    </row>
    <row r="191" spans="27:38" hidden="1" x14ac:dyDescent="0.25">
      <c r="AA191" t="s">
        <v>1407</v>
      </c>
      <c r="AB191" s="1" t="s">
        <v>9</v>
      </c>
      <c r="AC191" s="1" t="s">
        <v>8</v>
      </c>
      <c r="AD191" s="1" t="s">
        <v>7</v>
      </c>
      <c r="AE191" s="1" t="s">
        <v>9</v>
      </c>
      <c r="AF191" s="1" t="s">
        <v>1</v>
      </c>
      <c r="AG191">
        <f t="shared" si="27"/>
        <v>0</v>
      </c>
      <c r="AJ191">
        <v>1901</v>
      </c>
      <c r="AK191" t="e">
        <f>IFERROR(AVERAGE(INDEX(Z:Z,AJ191,1):INDEX(Z:Z,AJ191+9,1)),NA())</f>
        <v>#N/A</v>
      </c>
      <c r="AL191" s="32" t="str">
        <f t="shared" si="28"/>
        <v>-</v>
      </c>
    </row>
    <row r="192" spans="27:38" hidden="1" x14ac:dyDescent="0.25">
      <c r="AA192" t="s">
        <v>1874</v>
      </c>
      <c r="AB192" s="1" t="s">
        <v>1919</v>
      </c>
      <c r="AC192" s="1" t="s">
        <v>5</v>
      </c>
      <c r="AD192" s="1" t="s">
        <v>3</v>
      </c>
      <c r="AE192" s="1" t="s">
        <v>1</v>
      </c>
      <c r="AF192" s="1" t="s">
        <v>12</v>
      </c>
      <c r="AG192">
        <f t="shared" si="27"/>
        <v>0</v>
      </c>
      <c r="AJ192">
        <v>1911</v>
      </c>
      <c r="AK192" t="e">
        <f>IFERROR(AVERAGE(INDEX(Z:Z,AJ192,1):INDEX(Z:Z,AJ192+9,1)),NA())</f>
        <v>#N/A</v>
      </c>
      <c r="AL192" s="32" t="str">
        <f t="shared" si="28"/>
        <v>-</v>
      </c>
    </row>
    <row r="193" spans="27:38" hidden="1" x14ac:dyDescent="0.25">
      <c r="AA193" t="s">
        <v>1077</v>
      </c>
      <c r="AB193" s="1" t="s">
        <v>13</v>
      </c>
      <c r="AC193" s="1" t="s">
        <v>10</v>
      </c>
      <c r="AD193" s="1" t="s">
        <v>6</v>
      </c>
      <c r="AE193" s="1" t="s">
        <v>1</v>
      </c>
      <c r="AF193" s="1" t="s">
        <v>3</v>
      </c>
      <c r="AG193">
        <f t="shared" si="27"/>
        <v>0</v>
      </c>
      <c r="AJ193">
        <v>1921</v>
      </c>
      <c r="AK193" t="e">
        <f>IFERROR(AVERAGE(INDEX(Z:Z,AJ193,1):INDEX(Z:Z,AJ193+9,1)),NA())</f>
        <v>#N/A</v>
      </c>
      <c r="AL193" s="32" t="str">
        <f t="shared" si="28"/>
        <v>-</v>
      </c>
    </row>
    <row r="194" spans="27:38" hidden="1" x14ac:dyDescent="0.25">
      <c r="AA194" t="s">
        <v>689</v>
      </c>
      <c r="AB194" s="1" t="s">
        <v>1920</v>
      </c>
      <c r="AC194" s="1" t="s">
        <v>3</v>
      </c>
      <c r="AD194" s="1" t="s">
        <v>10</v>
      </c>
      <c r="AE194" s="1" t="s">
        <v>4</v>
      </c>
      <c r="AF194" s="1" t="s">
        <v>1</v>
      </c>
      <c r="AG194">
        <f t="shared" si="27"/>
        <v>0</v>
      </c>
      <c r="AJ194">
        <v>1931</v>
      </c>
      <c r="AK194" t="e">
        <f>IFERROR(AVERAGE(INDEX(Z:Z,AJ194,1):INDEX(Z:Z,AJ194+9,1)),NA())</f>
        <v>#N/A</v>
      </c>
      <c r="AL194" s="32" t="str">
        <f t="shared" si="28"/>
        <v>-</v>
      </c>
    </row>
    <row r="195" spans="27:38" hidden="1" x14ac:dyDescent="0.25">
      <c r="AA195" t="s">
        <v>404</v>
      </c>
      <c r="AB195" s="1" t="s">
        <v>0</v>
      </c>
      <c r="AC195" s="1" t="s">
        <v>10</v>
      </c>
      <c r="AD195" s="1" t="s">
        <v>11</v>
      </c>
      <c r="AE195" s="1" t="s">
        <v>1921</v>
      </c>
      <c r="AF195" s="1" t="s">
        <v>1</v>
      </c>
      <c r="AG195">
        <f t="shared" ref="AG195:AG258" si="29">IF(AND(Z195&gt;0,Z195&lt;7),AG194+1,0)</f>
        <v>0</v>
      </c>
      <c r="AJ195">
        <v>1941</v>
      </c>
      <c r="AK195" t="e">
        <f>IFERROR(AVERAGE(INDEX(Z:Z,AJ195,1):INDEX(Z:Z,AJ195+9,1)),NA())</f>
        <v>#N/A</v>
      </c>
      <c r="AL195" s="32" t="str">
        <f t="shared" ref="AL195:AL223" si="30">AL194</f>
        <v>-</v>
      </c>
    </row>
    <row r="196" spans="27:38" hidden="1" x14ac:dyDescent="0.25">
      <c r="AA196" t="s">
        <v>971</v>
      </c>
      <c r="AB196" s="1" t="s">
        <v>7</v>
      </c>
      <c r="AC196" s="1" t="s">
        <v>10</v>
      </c>
      <c r="AD196" s="1" t="s">
        <v>3</v>
      </c>
      <c r="AE196" s="1" t="s">
        <v>10</v>
      </c>
      <c r="AF196" s="1" t="s">
        <v>5</v>
      </c>
      <c r="AG196">
        <f t="shared" si="29"/>
        <v>0</v>
      </c>
      <c r="AJ196">
        <v>1951</v>
      </c>
      <c r="AK196" t="e">
        <f>IFERROR(AVERAGE(INDEX(Z:Z,AJ196,1):INDEX(Z:Z,AJ196+9,1)),NA())</f>
        <v>#N/A</v>
      </c>
      <c r="AL196" s="32" t="str">
        <f t="shared" si="30"/>
        <v>-</v>
      </c>
    </row>
    <row r="197" spans="27:38" hidden="1" x14ac:dyDescent="0.25">
      <c r="AA197" t="s">
        <v>896</v>
      </c>
      <c r="AB197" s="1" t="s">
        <v>15</v>
      </c>
      <c r="AC197" s="1" t="s">
        <v>8</v>
      </c>
      <c r="AD197" s="1" t="s">
        <v>11</v>
      </c>
      <c r="AE197" s="1" t="s">
        <v>1921</v>
      </c>
      <c r="AF197" s="1" t="s">
        <v>5</v>
      </c>
      <c r="AG197">
        <f t="shared" si="29"/>
        <v>0</v>
      </c>
      <c r="AJ197">
        <v>1961</v>
      </c>
      <c r="AK197" t="e">
        <f>IFERROR(AVERAGE(INDEX(Z:Z,AJ197,1):INDEX(Z:Z,AJ197+9,1)),NA())</f>
        <v>#N/A</v>
      </c>
      <c r="AL197" s="32" t="str">
        <f t="shared" si="30"/>
        <v>-</v>
      </c>
    </row>
    <row r="198" spans="27:38" hidden="1" x14ac:dyDescent="0.25">
      <c r="AA198" t="s">
        <v>2233</v>
      </c>
      <c r="AB198" s="1" t="s">
        <v>1914</v>
      </c>
      <c r="AC198" s="1" t="s">
        <v>8</v>
      </c>
      <c r="AD198" s="1" t="s">
        <v>1920</v>
      </c>
      <c r="AE198" s="1" t="s">
        <v>5</v>
      </c>
      <c r="AF198" s="1" t="s">
        <v>6</v>
      </c>
      <c r="AG198">
        <f t="shared" si="29"/>
        <v>0</v>
      </c>
      <c r="AJ198">
        <v>1971</v>
      </c>
      <c r="AK198" t="e">
        <f>IFERROR(AVERAGE(INDEX(Z:Z,AJ198,1):INDEX(Z:Z,AJ198+9,1)),NA())</f>
        <v>#N/A</v>
      </c>
      <c r="AL198" s="32" t="str">
        <f t="shared" si="30"/>
        <v>-</v>
      </c>
    </row>
    <row r="199" spans="27:38" hidden="1" x14ac:dyDescent="0.25">
      <c r="AA199" t="s">
        <v>155</v>
      </c>
      <c r="AB199" s="1" t="s">
        <v>1914</v>
      </c>
      <c r="AC199" s="1" t="s">
        <v>1</v>
      </c>
      <c r="AD199" s="1" t="s">
        <v>1914</v>
      </c>
      <c r="AE199" s="1" t="s">
        <v>11</v>
      </c>
      <c r="AF199" s="1" t="s">
        <v>5</v>
      </c>
      <c r="AG199">
        <f t="shared" si="29"/>
        <v>0</v>
      </c>
      <c r="AJ199">
        <v>1981</v>
      </c>
      <c r="AK199" t="e">
        <f>IFERROR(AVERAGE(INDEX(Z:Z,AJ199,1):INDEX(Z:Z,AJ199+9,1)),NA())</f>
        <v>#N/A</v>
      </c>
      <c r="AL199" s="32" t="str">
        <f t="shared" si="30"/>
        <v>-</v>
      </c>
    </row>
    <row r="200" spans="27:38" hidden="1" x14ac:dyDescent="0.25">
      <c r="AA200" t="s">
        <v>1818</v>
      </c>
      <c r="AB200" s="1" t="s">
        <v>1919</v>
      </c>
      <c r="AC200" s="1" t="s">
        <v>1</v>
      </c>
      <c r="AD200" s="1" t="s">
        <v>3</v>
      </c>
      <c r="AE200" s="1" t="s">
        <v>10</v>
      </c>
      <c r="AF200" s="1" t="s">
        <v>12</v>
      </c>
      <c r="AG200">
        <f t="shared" si="29"/>
        <v>0</v>
      </c>
      <c r="AJ200">
        <v>1991</v>
      </c>
      <c r="AK200" t="e">
        <f>IFERROR(AVERAGE(INDEX(Z:Z,AJ200,1):INDEX(Z:Z,AJ200+9,1)),NA())</f>
        <v>#N/A</v>
      </c>
      <c r="AL200" s="32" t="str">
        <f t="shared" si="30"/>
        <v>-</v>
      </c>
    </row>
    <row r="201" spans="27:38" hidden="1" x14ac:dyDescent="0.25">
      <c r="AA201" t="s">
        <v>2113</v>
      </c>
      <c r="AB201" s="1" t="s">
        <v>1919</v>
      </c>
      <c r="AC201" s="1" t="s">
        <v>10</v>
      </c>
      <c r="AD201" s="1" t="s">
        <v>1915</v>
      </c>
      <c r="AE201" s="1" t="s">
        <v>11</v>
      </c>
      <c r="AF201" s="1" t="s">
        <v>5</v>
      </c>
      <c r="AG201">
        <f t="shared" si="29"/>
        <v>0</v>
      </c>
      <c r="AJ201">
        <v>2001</v>
      </c>
      <c r="AK201" t="e">
        <f>IFERROR(AVERAGE(INDEX(Z:Z,AJ201,1):INDEX(Z:Z,AJ201+9,1)),NA())</f>
        <v>#N/A</v>
      </c>
      <c r="AL201" s="32" t="str">
        <f t="shared" si="30"/>
        <v>-</v>
      </c>
    </row>
    <row r="202" spans="27:38" hidden="1" x14ac:dyDescent="0.25">
      <c r="AA202" t="s">
        <v>2318</v>
      </c>
      <c r="AB202" s="1" t="s">
        <v>1</v>
      </c>
      <c r="AC202" s="1" t="s">
        <v>7</v>
      </c>
      <c r="AD202" s="1" t="s">
        <v>1921</v>
      </c>
      <c r="AE202" s="1" t="s">
        <v>8</v>
      </c>
      <c r="AF202" s="1" t="s">
        <v>6</v>
      </c>
      <c r="AG202">
        <f t="shared" si="29"/>
        <v>0</v>
      </c>
      <c r="AJ202">
        <v>2011</v>
      </c>
      <c r="AK202" t="e">
        <f>IFERROR(AVERAGE(INDEX(Z:Z,AJ202,1):INDEX(Z:Z,AJ202+9,1)),NA())</f>
        <v>#N/A</v>
      </c>
      <c r="AL202" s="32" t="str">
        <f t="shared" si="30"/>
        <v>-</v>
      </c>
    </row>
    <row r="203" spans="27:38" hidden="1" x14ac:dyDescent="0.25">
      <c r="AA203" t="s">
        <v>1578</v>
      </c>
      <c r="AB203" s="1" t="s">
        <v>2</v>
      </c>
      <c r="AC203" s="1" t="s">
        <v>11</v>
      </c>
      <c r="AD203" s="1" t="s">
        <v>3</v>
      </c>
      <c r="AE203" s="1" t="s">
        <v>9</v>
      </c>
      <c r="AF203" s="1" t="s">
        <v>1</v>
      </c>
      <c r="AG203">
        <f t="shared" si="29"/>
        <v>0</v>
      </c>
      <c r="AJ203">
        <v>2021</v>
      </c>
      <c r="AK203" t="e">
        <f>IFERROR(AVERAGE(INDEX(Z:Z,AJ203,1):INDEX(Z:Z,AJ203+9,1)),NA())</f>
        <v>#N/A</v>
      </c>
      <c r="AL203" s="32" t="str">
        <f t="shared" si="30"/>
        <v>-</v>
      </c>
    </row>
    <row r="204" spans="27:38" hidden="1" x14ac:dyDescent="0.25">
      <c r="AA204" t="s">
        <v>121</v>
      </c>
      <c r="AB204" s="1" t="s">
        <v>1</v>
      </c>
      <c r="AC204" s="1" t="s">
        <v>3</v>
      </c>
      <c r="AD204" s="1" t="s">
        <v>5</v>
      </c>
      <c r="AE204" s="1" t="s">
        <v>13</v>
      </c>
      <c r="AF204" s="1" t="s">
        <v>1</v>
      </c>
      <c r="AG204">
        <f t="shared" si="29"/>
        <v>0</v>
      </c>
      <c r="AJ204">
        <v>2031</v>
      </c>
      <c r="AK204" t="e">
        <f>IFERROR(AVERAGE(INDEX(Z:Z,AJ204,1):INDEX(Z:Z,AJ204+9,1)),NA())</f>
        <v>#N/A</v>
      </c>
      <c r="AL204" s="32" t="str">
        <f t="shared" si="30"/>
        <v>-</v>
      </c>
    </row>
    <row r="205" spans="27:38" hidden="1" x14ac:dyDescent="0.25">
      <c r="AA205" t="s">
        <v>64</v>
      </c>
      <c r="AB205" s="1" t="s">
        <v>1</v>
      </c>
      <c r="AC205" s="1" t="s">
        <v>7</v>
      </c>
      <c r="AD205" s="1" t="s">
        <v>10</v>
      </c>
      <c r="AE205" s="1" t="s">
        <v>1916</v>
      </c>
      <c r="AF205" s="1" t="s">
        <v>5</v>
      </c>
      <c r="AG205">
        <f t="shared" si="29"/>
        <v>0</v>
      </c>
      <c r="AJ205">
        <v>2041</v>
      </c>
      <c r="AK205" t="e">
        <f>IFERROR(AVERAGE(INDEX(Z:Z,AJ205,1):INDEX(Z:Z,AJ205+9,1)),NA())</f>
        <v>#N/A</v>
      </c>
      <c r="AL205" s="32" t="str">
        <f t="shared" si="30"/>
        <v>-</v>
      </c>
    </row>
    <row r="206" spans="27:38" hidden="1" x14ac:dyDescent="0.25">
      <c r="AA206" t="s">
        <v>1432</v>
      </c>
      <c r="AB206" s="1" t="s">
        <v>3</v>
      </c>
      <c r="AC206" s="1" t="s">
        <v>1</v>
      </c>
      <c r="AD206" s="1" t="s">
        <v>15</v>
      </c>
      <c r="AE206" s="1" t="s">
        <v>1</v>
      </c>
      <c r="AF206" s="1" t="s">
        <v>3</v>
      </c>
      <c r="AG206">
        <f t="shared" si="29"/>
        <v>0</v>
      </c>
      <c r="AJ206">
        <v>2051</v>
      </c>
      <c r="AK206" t="e">
        <f>IFERROR(AVERAGE(INDEX(Z:Z,AJ206,1):INDEX(Z:Z,AJ206+9,1)),NA())</f>
        <v>#N/A</v>
      </c>
      <c r="AL206" s="32" t="str">
        <f t="shared" si="30"/>
        <v>-</v>
      </c>
    </row>
    <row r="207" spans="27:38" hidden="1" x14ac:dyDescent="0.25">
      <c r="AA207" t="s">
        <v>2064</v>
      </c>
      <c r="AB207" s="1" t="s">
        <v>1915</v>
      </c>
      <c r="AC207" s="1" t="s">
        <v>1</v>
      </c>
      <c r="AD207" s="1" t="s">
        <v>6</v>
      </c>
      <c r="AE207" s="1" t="s">
        <v>11</v>
      </c>
      <c r="AF207" s="1" t="s">
        <v>2</v>
      </c>
      <c r="AG207">
        <f t="shared" si="29"/>
        <v>0</v>
      </c>
      <c r="AJ207">
        <v>2061</v>
      </c>
      <c r="AK207" t="e">
        <f>IFERROR(AVERAGE(INDEX(Z:Z,AJ207,1):INDEX(Z:Z,AJ207+9,1)),NA())</f>
        <v>#N/A</v>
      </c>
      <c r="AL207" s="32" t="str">
        <f t="shared" si="30"/>
        <v>-</v>
      </c>
    </row>
    <row r="208" spans="27:38" hidden="1" x14ac:dyDescent="0.25">
      <c r="AA208" t="s">
        <v>214</v>
      </c>
      <c r="AB208" s="1" t="s">
        <v>1914</v>
      </c>
      <c r="AC208" s="1" t="s">
        <v>10</v>
      </c>
      <c r="AD208" s="1" t="s">
        <v>12</v>
      </c>
      <c r="AE208" s="1" t="s">
        <v>0</v>
      </c>
      <c r="AF208" s="1" t="s">
        <v>1</v>
      </c>
      <c r="AG208">
        <f t="shared" si="29"/>
        <v>0</v>
      </c>
      <c r="AJ208">
        <v>2071</v>
      </c>
      <c r="AK208" t="e">
        <f>IFERROR(AVERAGE(INDEX(Z:Z,AJ208,1):INDEX(Z:Z,AJ208+9,1)),NA())</f>
        <v>#N/A</v>
      </c>
      <c r="AL208" s="32" t="str">
        <f t="shared" si="30"/>
        <v>-</v>
      </c>
    </row>
    <row r="209" spans="27:38" hidden="1" x14ac:dyDescent="0.25">
      <c r="AA209" t="s">
        <v>1283</v>
      </c>
      <c r="AB209" s="1" t="s">
        <v>9</v>
      </c>
      <c r="AC209" s="1" t="s">
        <v>1</v>
      </c>
      <c r="AD209" s="1" t="s">
        <v>2</v>
      </c>
      <c r="AE209" s="1" t="s">
        <v>4</v>
      </c>
      <c r="AF209" s="1" t="s">
        <v>1</v>
      </c>
      <c r="AG209">
        <f t="shared" si="29"/>
        <v>0</v>
      </c>
      <c r="AJ209">
        <v>2081</v>
      </c>
      <c r="AK209" t="e">
        <f>IFERROR(AVERAGE(INDEX(Z:Z,AJ209,1):INDEX(Z:Z,AJ209+9,1)),NA())</f>
        <v>#N/A</v>
      </c>
      <c r="AL209" s="32" t="str">
        <f t="shared" si="30"/>
        <v>-</v>
      </c>
    </row>
    <row r="210" spans="27:38" hidden="1" x14ac:dyDescent="0.25">
      <c r="AA210" t="s">
        <v>1563</v>
      </c>
      <c r="AB210" s="1" t="s">
        <v>2</v>
      </c>
      <c r="AC210" s="1" t="s">
        <v>11</v>
      </c>
      <c r="AD210" s="1" t="s">
        <v>1921</v>
      </c>
      <c r="AE210" s="1" t="s">
        <v>1</v>
      </c>
      <c r="AF210" s="1" t="s">
        <v>3</v>
      </c>
      <c r="AG210">
        <f t="shared" si="29"/>
        <v>0</v>
      </c>
      <c r="AJ210">
        <v>2091</v>
      </c>
      <c r="AK210" t="e">
        <f>IFERROR(AVERAGE(INDEX(Z:Z,AJ210,1):INDEX(Z:Z,AJ210+9,1)),NA())</f>
        <v>#N/A</v>
      </c>
      <c r="AL210" s="32" t="str">
        <f t="shared" si="30"/>
        <v>-</v>
      </c>
    </row>
    <row r="211" spans="27:38" hidden="1" x14ac:dyDescent="0.25">
      <c r="AA211" t="s">
        <v>1245</v>
      </c>
      <c r="AB211" s="1" t="s">
        <v>5</v>
      </c>
      <c r="AC211" s="1" t="s">
        <v>12</v>
      </c>
      <c r="AD211" s="1" t="s">
        <v>5</v>
      </c>
      <c r="AE211" s="1" t="s">
        <v>6</v>
      </c>
      <c r="AF211" s="1" t="s">
        <v>5</v>
      </c>
      <c r="AG211">
        <f t="shared" si="29"/>
        <v>0</v>
      </c>
      <c r="AJ211">
        <v>2101</v>
      </c>
      <c r="AK211" t="e">
        <f>IFERROR(AVERAGE(INDEX(Z:Z,AJ211,1):INDEX(Z:Z,AJ211+9,1)),NA())</f>
        <v>#N/A</v>
      </c>
      <c r="AL211" s="32" t="str">
        <f t="shared" si="30"/>
        <v>-</v>
      </c>
    </row>
    <row r="212" spans="27:38" hidden="1" x14ac:dyDescent="0.25">
      <c r="AA212" t="s">
        <v>366</v>
      </c>
      <c r="AB212" s="1" t="s">
        <v>0</v>
      </c>
      <c r="AC212" s="1" t="s">
        <v>11</v>
      </c>
      <c r="AD212" s="1" t="s">
        <v>3</v>
      </c>
      <c r="AE212" s="1" t="s">
        <v>1915</v>
      </c>
      <c r="AF212" s="1" t="s">
        <v>5</v>
      </c>
      <c r="AG212">
        <f t="shared" si="29"/>
        <v>0</v>
      </c>
      <c r="AJ212">
        <v>2111</v>
      </c>
      <c r="AK212" t="e">
        <f>IFERROR(AVERAGE(INDEX(Z:Z,AJ212,1):INDEX(Z:Z,AJ212+9,1)),NA())</f>
        <v>#N/A</v>
      </c>
      <c r="AL212" s="32" t="str">
        <f t="shared" si="30"/>
        <v>-</v>
      </c>
    </row>
    <row r="213" spans="27:38" hidden="1" x14ac:dyDescent="0.25">
      <c r="AA213" t="s">
        <v>597</v>
      </c>
      <c r="AB213" s="1" t="s">
        <v>11</v>
      </c>
      <c r="AC213" s="1" t="s">
        <v>2</v>
      </c>
      <c r="AD213" s="1" t="s">
        <v>4</v>
      </c>
      <c r="AE213" s="1" t="s">
        <v>5</v>
      </c>
      <c r="AF213" s="1" t="s">
        <v>3</v>
      </c>
      <c r="AG213">
        <f t="shared" si="29"/>
        <v>0</v>
      </c>
      <c r="AJ213">
        <v>2121</v>
      </c>
      <c r="AK213" t="e">
        <f>IFERROR(AVERAGE(INDEX(Z:Z,AJ213,1):INDEX(Z:Z,AJ213+9,1)),NA())</f>
        <v>#N/A</v>
      </c>
      <c r="AL213" s="32" t="str">
        <f t="shared" si="30"/>
        <v>-</v>
      </c>
    </row>
    <row r="214" spans="27:38" hidden="1" x14ac:dyDescent="0.25">
      <c r="AA214" t="s">
        <v>283</v>
      </c>
      <c r="AB214" s="1" t="s">
        <v>1914</v>
      </c>
      <c r="AC214" s="1" t="s">
        <v>8</v>
      </c>
      <c r="AD214" s="1" t="s">
        <v>2</v>
      </c>
      <c r="AE214" s="1" t="s">
        <v>4</v>
      </c>
      <c r="AF214" s="1" t="s">
        <v>5</v>
      </c>
      <c r="AG214">
        <f t="shared" si="29"/>
        <v>0</v>
      </c>
      <c r="AJ214">
        <v>2131</v>
      </c>
      <c r="AK214" t="e">
        <f>IFERROR(AVERAGE(INDEX(Z:Z,AJ214,1):INDEX(Z:Z,AJ214+9,1)),NA())</f>
        <v>#N/A</v>
      </c>
      <c r="AL214" s="32" t="str">
        <f t="shared" si="30"/>
        <v>-</v>
      </c>
    </row>
    <row r="215" spans="27:38" hidden="1" x14ac:dyDescent="0.25">
      <c r="AA215" t="s">
        <v>644</v>
      </c>
      <c r="AB215" s="1" t="s">
        <v>1920</v>
      </c>
      <c r="AC215" s="1" t="s">
        <v>10</v>
      </c>
      <c r="AD215" s="1" t="s">
        <v>11</v>
      </c>
      <c r="AE215" s="1" t="s">
        <v>3</v>
      </c>
      <c r="AF215" s="1" t="s">
        <v>5</v>
      </c>
      <c r="AG215">
        <f t="shared" si="29"/>
        <v>0</v>
      </c>
      <c r="AJ215">
        <v>2141</v>
      </c>
      <c r="AK215" t="e">
        <f>IFERROR(AVERAGE(INDEX(Z:Z,AJ215,1):INDEX(Z:Z,AJ215+9,1)),NA())</f>
        <v>#N/A</v>
      </c>
      <c r="AL215" s="32" t="str">
        <f t="shared" si="30"/>
        <v>-</v>
      </c>
    </row>
    <row r="216" spans="27:38" hidden="1" x14ac:dyDescent="0.25">
      <c r="AA216" t="s">
        <v>1149</v>
      </c>
      <c r="AB216" s="1" t="s">
        <v>6</v>
      </c>
      <c r="AC216" s="1" t="s">
        <v>1</v>
      </c>
      <c r="AD216" s="1" t="s">
        <v>3</v>
      </c>
      <c r="AE216" s="1" t="s">
        <v>1915</v>
      </c>
      <c r="AF216" s="1" t="s">
        <v>5</v>
      </c>
      <c r="AG216">
        <f t="shared" si="29"/>
        <v>0</v>
      </c>
      <c r="AJ216">
        <v>2151</v>
      </c>
      <c r="AK216" t="e">
        <f>IFERROR(AVERAGE(INDEX(Z:Z,AJ216,1):INDEX(Z:Z,AJ216+9,1)),NA())</f>
        <v>#N/A</v>
      </c>
      <c r="AL216" s="32" t="str">
        <f t="shared" si="30"/>
        <v>-</v>
      </c>
    </row>
    <row r="217" spans="27:38" hidden="1" x14ac:dyDescent="0.25">
      <c r="AA217" t="s">
        <v>916</v>
      </c>
      <c r="AB217" s="1" t="s">
        <v>7</v>
      </c>
      <c r="AC217" s="1" t="s">
        <v>1</v>
      </c>
      <c r="AD217" s="1" t="s">
        <v>0</v>
      </c>
      <c r="AE217" s="1" t="s">
        <v>10</v>
      </c>
      <c r="AF217" s="1" t="s">
        <v>5</v>
      </c>
      <c r="AG217">
        <f t="shared" si="29"/>
        <v>0</v>
      </c>
      <c r="AJ217">
        <v>2161</v>
      </c>
      <c r="AK217" t="e">
        <f>IFERROR(AVERAGE(INDEX(Z:Z,AJ217,1):INDEX(Z:Z,AJ217+9,1)),NA())</f>
        <v>#N/A</v>
      </c>
      <c r="AL217" s="32" t="str">
        <f t="shared" si="30"/>
        <v>-</v>
      </c>
    </row>
    <row r="218" spans="27:38" hidden="1" x14ac:dyDescent="0.25">
      <c r="AA218" t="s">
        <v>753</v>
      </c>
      <c r="AB218" s="1" t="s">
        <v>1921</v>
      </c>
      <c r="AC218" s="1" t="s">
        <v>3</v>
      </c>
      <c r="AD218" s="1" t="s">
        <v>1</v>
      </c>
      <c r="AE218" s="1" t="s">
        <v>1915</v>
      </c>
      <c r="AF218" s="1" t="s">
        <v>1</v>
      </c>
      <c r="AG218">
        <f t="shared" si="29"/>
        <v>0</v>
      </c>
      <c r="AJ218">
        <v>2171</v>
      </c>
      <c r="AK218" t="e">
        <f>IFERROR(AVERAGE(INDEX(Z:Z,AJ218,1):INDEX(Z:Z,AJ218+9,1)),NA())</f>
        <v>#N/A</v>
      </c>
      <c r="AL218" s="32" t="str">
        <f t="shared" si="30"/>
        <v>-</v>
      </c>
    </row>
    <row r="219" spans="27:38" hidden="1" x14ac:dyDescent="0.25">
      <c r="AA219" t="s">
        <v>1097</v>
      </c>
      <c r="AB219" s="1" t="s">
        <v>13</v>
      </c>
      <c r="AC219" s="1" t="s">
        <v>5</v>
      </c>
      <c r="AD219" s="1" t="s">
        <v>1920</v>
      </c>
      <c r="AE219" s="1" t="s">
        <v>1</v>
      </c>
      <c r="AF219" s="1" t="s">
        <v>3</v>
      </c>
      <c r="AG219">
        <f t="shared" si="29"/>
        <v>0</v>
      </c>
      <c r="AJ219">
        <v>2181</v>
      </c>
      <c r="AK219" t="e">
        <f>IFERROR(AVERAGE(INDEX(Z:Z,AJ219,1):INDEX(Z:Z,AJ219+9,1)),NA())</f>
        <v>#N/A</v>
      </c>
      <c r="AL219" s="32" t="str">
        <f t="shared" si="30"/>
        <v>-</v>
      </c>
    </row>
    <row r="220" spans="27:38" hidden="1" x14ac:dyDescent="0.25">
      <c r="AA220" t="s">
        <v>2139</v>
      </c>
      <c r="AB220" s="1" t="s">
        <v>15</v>
      </c>
      <c r="AC220" s="1" t="s">
        <v>8</v>
      </c>
      <c r="AD220" s="1" t="s">
        <v>1915</v>
      </c>
      <c r="AE220" s="1" t="s">
        <v>10</v>
      </c>
      <c r="AF220" s="1" t="s">
        <v>5</v>
      </c>
      <c r="AG220">
        <f t="shared" si="29"/>
        <v>0</v>
      </c>
      <c r="AJ220">
        <v>2191</v>
      </c>
      <c r="AK220" t="e">
        <f>IFERROR(AVERAGE(INDEX(Z:Z,AJ220,1):INDEX(Z:Z,AJ220+9,1)),NA())</f>
        <v>#N/A</v>
      </c>
      <c r="AL220" s="32" t="str">
        <f t="shared" si="30"/>
        <v>-</v>
      </c>
    </row>
    <row r="221" spans="27:38" hidden="1" x14ac:dyDescent="0.25">
      <c r="AA221" t="s">
        <v>1174</v>
      </c>
      <c r="AB221" s="1" t="s">
        <v>6</v>
      </c>
      <c r="AC221" s="1" t="s">
        <v>5</v>
      </c>
      <c r="AD221" s="1" t="s">
        <v>1914</v>
      </c>
      <c r="AE221" s="1" t="s">
        <v>7</v>
      </c>
      <c r="AF221" s="1" t="s">
        <v>11</v>
      </c>
      <c r="AG221">
        <f t="shared" si="29"/>
        <v>0</v>
      </c>
      <c r="AJ221">
        <v>2201</v>
      </c>
      <c r="AK221" t="e">
        <f>IFERROR(AVERAGE(INDEX(Z:Z,AJ221,1):INDEX(Z:Z,AJ221+9,1)),NA())</f>
        <v>#N/A</v>
      </c>
      <c r="AL221" s="32" t="str">
        <f t="shared" si="30"/>
        <v>-</v>
      </c>
    </row>
    <row r="222" spans="27:38" hidden="1" x14ac:dyDescent="0.25">
      <c r="AA222" t="s">
        <v>1904</v>
      </c>
      <c r="AB222" s="1" t="s">
        <v>12</v>
      </c>
      <c r="AC222" s="1" t="s">
        <v>1</v>
      </c>
      <c r="AD222" s="1" t="s">
        <v>3</v>
      </c>
      <c r="AE222" s="1" t="s">
        <v>12</v>
      </c>
      <c r="AF222" s="1" t="s">
        <v>1</v>
      </c>
      <c r="AG222">
        <f t="shared" si="29"/>
        <v>0</v>
      </c>
      <c r="AJ222">
        <v>2211</v>
      </c>
      <c r="AK222" t="e">
        <f>IFERROR(AVERAGE(INDEX(Z:Z,AJ222,1):INDEX(Z:Z,AJ222+9,1)),NA())</f>
        <v>#N/A</v>
      </c>
      <c r="AL222" s="32" t="str">
        <f t="shared" si="30"/>
        <v>-</v>
      </c>
    </row>
    <row r="223" spans="27:38" hidden="1" x14ac:dyDescent="0.25">
      <c r="AA223" t="s">
        <v>1508</v>
      </c>
      <c r="AB223" s="1" t="s">
        <v>3</v>
      </c>
      <c r="AC223" s="1" t="s">
        <v>5</v>
      </c>
      <c r="AD223" s="1" t="s">
        <v>12</v>
      </c>
      <c r="AE223" s="1" t="s">
        <v>1</v>
      </c>
      <c r="AF223" s="1" t="s">
        <v>3</v>
      </c>
      <c r="AG223">
        <f t="shared" si="29"/>
        <v>0</v>
      </c>
      <c r="AJ223">
        <v>2221</v>
      </c>
      <c r="AK223" t="e">
        <f>IFERROR(AVERAGE(INDEX(Z:Z,AJ223,1):INDEX(Z:Z,AJ223+9,1)),NA())</f>
        <v>#N/A</v>
      </c>
      <c r="AL223" s="32" t="str">
        <f t="shared" si="30"/>
        <v>-</v>
      </c>
    </row>
    <row r="224" spans="27:38" hidden="1" x14ac:dyDescent="0.25">
      <c r="AA224" t="s">
        <v>215</v>
      </c>
      <c r="AB224" s="1" t="s">
        <v>1914</v>
      </c>
      <c r="AC224" s="1" t="s">
        <v>10</v>
      </c>
      <c r="AD224" s="1" t="s">
        <v>12</v>
      </c>
      <c r="AE224" s="1" t="s">
        <v>0</v>
      </c>
      <c r="AF224" s="1" t="s">
        <v>5</v>
      </c>
      <c r="AG224">
        <f t="shared" si="29"/>
        <v>0</v>
      </c>
    </row>
    <row r="225" spans="27:33" hidden="1" x14ac:dyDescent="0.25">
      <c r="AA225" t="s">
        <v>2080</v>
      </c>
      <c r="AB225" s="1" t="s">
        <v>11</v>
      </c>
      <c r="AC225" s="1" t="s">
        <v>1922</v>
      </c>
      <c r="AD225" s="1" t="s">
        <v>10</v>
      </c>
      <c r="AE225" s="1" t="s">
        <v>4</v>
      </c>
      <c r="AF225" s="1" t="s">
        <v>5</v>
      </c>
      <c r="AG225">
        <f t="shared" si="29"/>
        <v>0</v>
      </c>
    </row>
    <row r="226" spans="27:33" hidden="1" x14ac:dyDescent="0.25">
      <c r="AA226" t="s">
        <v>2129</v>
      </c>
      <c r="AB226" s="1" t="s">
        <v>4</v>
      </c>
      <c r="AC226" s="1" t="s">
        <v>11</v>
      </c>
      <c r="AD226" s="1" t="s">
        <v>10</v>
      </c>
      <c r="AE226" s="1" t="s">
        <v>6</v>
      </c>
      <c r="AF226" s="1" t="s">
        <v>1</v>
      </c>
      <c r="AG226">
        <f t="shared" si="29"/>
        <v>0</v>
      </c>
    </row>
    <row r="227" spans="27:33" hidden="1" x14ac:dyDescent="0.25">
      <c r="AA227" t="s">
        <v>2281</v>
      </c>
      <c r="AB227" s="1" t="s">
        <v>0</v>
      </c>
      <c r="AC227" s="1" t="s">
        <v>5</v>
      </c>
      <c r="AD227" s="1" t="s">
        <v>9</v>
      </c>
      <c r="AE227" s="1" t="s">
        <v>5</v>
      </c>
      <c r="AF227" s="1" t="s">
        <v>6</v>
      </c>
      <c r="AG227">
        <f t="shared" si="29"/>
        <v>0</v>
      </c>
    </row>
    <row r="228" spans="27:33" hidden="1" x14ac:dyDescent="0.25">
      <c r="AA228" t="s">
        <v>23</v>
      </c>
      <c r="AB228" s="1" t="s">
        <v>1</v>
      </c>
      <c r="AC228" s="1" t="s">
        <v>1914</v>
      </c>
      <c r="AD228" s="1" t="s">
        <v>3</v>
      </c>
      <c r="AE228" s="1" t="s">
        <v>10</v>
      </c>
      <c r="AF228" s="1" t="s">
        <v>3</v>
      </c>
      <c r="AG228">
        <f t="shared" si="29"/>
        <v>0</v>
      </c>
    </row>
    <row r="229" spans="27:33" hidden="1" x14ac:dyDescent="0.25">
      <c r="AA229" t="s">
        <v>1358</v>
      </c>
      <c r="AB229" s="1" t="s">
        <v>9</v>
      </c>
      <c r="AC229" s="1" t="s">
        <v>7</v>
      </c>
      <c r="AD229" s="1" t="s">
        <v>8</v>
      </c>
      <c r="AE229" s="1" t="s">
        <v>13</v>
      </c>
      <c r="AF229" s="1" t="s">
        <v>1</v>
      </c>
      <c r="AG229">
        <f t="shared" si="29"/>
        <v>0</v>
      </c>
    </row>
    <row r="230" spans="27:33" hidden="1" x14ac:dyDescent="0.25">
      <c r="AA230" t="s">
        <v>553</v>
      </c>
      <c r="AB230" s="1" t="s">
        <v>1915</v>
      </c>
      <c r="AC230" s="1" t="s">
        <v>5</v>
      </c>
      <c r="AD230" s="1" t="s">
        <v>2</v>
      </c>
      <c r="AE230" s="1" t="s">
        <v>10</v>
      </c>
      <c r="AF230" s="1" t="s">
        <v>2</v>
      </c>
      <c r="AG230">
        <f t="shared" si="29"/>
        <v>0</v>
      </c>
    </row>
    <row r="231" spans="27:33" hidden="1" x14ac:dyDescent="0.25">
      <c r="AA231" t="s">
        <v>1427</v>
      </c>
      <c r="AB231" s="1" t="s">
        <v>3</v>
      </c>
      <c r="AC231" s="1" t="s">
        <v>1</v>
      </c>
      <c r="AD231" s="1" t="s">
        <v>0</v>
      </c>
      <c r="AE231" s="1" t="s">
        <v>1917</v>
      </c>
      <c r="AF231" s="1" t="s">
        <v>1</v>
      </c>
      <c r="AG231">
        <f t="shared" si="29"/>
        <v>0</v>
      </c>
    </row>
    <row r="232" spans="27:33" hidden="1" x14ac:dyDescent="0.25">
      <c r="AA232" t="s">
        <v>1225</v>
      </c>
      <c r="AB232" s="1" t="s">
        <v>5</v>
      </c>
      <c r="AC232" s="1" t="s">
        <v>3</v>
      </c>
      <c r="AD232" s="1" t="s">
        <v>1915</v>
      </c>
      <c r="AE232" s="1" t="s">
        <v>11</v>
      </c>
      <c r="AF232" s="1" t="s">
        <v>6</v>
      </c>
      <c r="AG232">
        <f t="shared" si="29"/>
        <v>0</v>
      </c>
    </row>
    <row r="233" spans="27:33" hidden="1" x14ac:dyDescent="0.25">
      <c r="AA233" t="s">
        <v>68</v>
      </c>
      <c r="AB233" s="1" t="s">
        <v>1</v>
      </c>
      <c r="AC233" s="1" t="s">
        <v>13</v>
      </c>
      <c r="AD233" s="1" t="s">
        <v>1</v>
      </c>
      <c r="AE233" s="1" t="s">
        <v>1915</v>
      </c>
      <c r="AF233" s="1" t="s">
        <v>5</v>
      </c>
      <c r="AG233">
        <f t="shared" si="29"/>
        <v>0</v>
      </c>
    </row>
    <row r="234" spans="27:33" hidden="1" x14ac:dyDescent="0.25">
      <c r="AA234" t="s">
        <v>1226</v>
      </c>
      <c r="AB234" s="1" t="s">
        <v>5</v>
      </c>
      <c r="AC234" s="1" t="s">
        <v>3</v>
      </c>
      <c r="AD234" s="1" t="s">
        <v>11</v>
      </c>
      <c r="AE234" s="1" t="s">
        <v>1</v>
      </c>
      <c r="AF234" s="1" t="s">
        <v>3</v>
      </c>
      <c r="AG234">
        <f t="shared" si="29"/>
        <v>0</v>
      </c>
    </row>
    <row r="235" spans="27:33" hidden="1" x14ac:dyDescent="0.25">
      <c r="AA235" t="s">
        <v>1476</v>
      </c>
      <c r="AB235" s="1" t="s">
        <v>3</v>
      </c>
      <c r="AC235" s="1" t="s">
        <v>11</v>
      </c>
      <c r="AD235" s="1" t="s">
        <v>4</v>
      </c>
      <c r="AE235" s="1" t="s">
        <v>3</v>
      </c>
      <c r="AF235" s="1" t="s">
        <v>5</v>
      </c>
      <c r="AG235">
        <f t="shared" si="29"/>
        <v>0</v>
      </c>
    </row>
    <row r="236" spans="27:33" hidden="1" x14ac:dyDescent="0.25">
      <c r="AA236" t="s">
        <v>204</v>
      </c>
      <c r="AB236" s="1" t="s">
        <v>1914</v>
      </c>
      <c r="AC236" s="1" t="s">
        <v>11</v>
      </c>
      <c r="AD236" s="1" t="s">
        <v>3</v>
      </c>
      <c r="AE236" s="1" t="s">
        <v>12</v>
      </c>
      <c r="AF236" s="1" t="s">
        <v>1</v>
      </c>
      <c r="AG236">
        <f t="shared" si="29"/>
        <v>0</v>
      </c>
    </row>
    <row r="237" spans="27:33" hidden="1" x14ac:dyDescent="0.25">
      <c r="AA237" t="s">
        <v>1336</v>
      </c>
      <c r="AB237" s="1" t="s">
        <v>9</v>
      </c>
      <c r="AC237" s="1" t="s">
        <v>10</v>
      </c>
      <c r="AD237" s="1" t="s">
        <v>1923</v>
      </c>
      <c r="AE237" s="1" t="s">
        <v>8</v>
      </c>
      <c r="AF237" s="1" t="s">
        <v>11</v>
      </c>
      <c r="AG237">
        <f t="shared" si="29"/>
        <v>0</v>
      </c>
    </row>
    <row r="238" spans="27:33" hidden="1" x14ac:dyDescent="0.25">
      <c r="AA238" t="s">
        <v>419</v>
      </c>
      <c r="AB238" s="1" t="s">
        <v>0</v>
      </c>
      <c r="AC238" s="1" t="s">
        <v>7</v>
      </c>
      <c r="AD238" s="1" t="s">
        <v>1</v>
      </c>
      <c r="AE238" s="1" t="s">
        <v>3</v>
      </c>
      <c r="AF238" s="1" t="s">
        <v>1</v>
      </c>
      <c r="AG238">
        <f t="shared" si="29"/>
        <v>0</v>
      </c>
    </row>
    <row r="239" spans="27:33" hidden="1" x14ac:dyDescent="0.25">
      <c r="AA239" t="s">
        <v>775</v>
      </c>
      <c r="AB239" s="1" t="s">
        <v>1921</v>
      </c>
      <c r="AC239" s="1" t="s">
        <v>3</v>
      </c>
      <c r="AD239" s="1" t="s">
        <v>10</v>
      </c>
      <c r="AE239" s="1" t="s">
        <v>4</v>
      </c>
      <c r="AF239" s="1" t="s">
        <v>5</v>
      </c>
      <c r="AG239">
        <f t="shared" si="29"/>
        <v>0</v>
      </c>
    </row>
    <row r="240" spans="27:33" hidden="1" x14ac:dyDescent="0.25">
      <c r="AA240" t="s">
        <v>2152</v>
      </c>
      <c r="AB240" s="1" t="s">
        <v>7</v>
      </c>
      <c r="AC240" s="1" t="s">
        <v>11</v>
      </c>
      <c r="AD240" s="1" t="s">
        <v>10</v>
      </c>
      <c r="AE240" s="1" t="s">
        <v>1915</v>
      </c>
      <c r="AF240" s="1" t="s">
        <v>5</v>
      </c>
      <c r="AG240">
        <f t="shared" si="29"/>
        <v>0</v>
      </c>
    </row>
    <row r="241" spans="27:33" hidden="1" x14ac:dyDescent="0.25">
      <c r="AA241" t="s">
        <v>1167</v>
      </c>
      <c r="AB241" s="1" t="s">
        <v>6</v>
      </c>
      <c r="AC241" s="1" t="s">
        <v>10</v>
      </c>
      <c r="AD241" s="1" t="s">
        <v>1916</v>
      </c>
      <c r="AE241" s="1" t="s">
        <v>11</v>
      </c>
      <c r="AF241" s="1" t="s">
        <v>12</v>
      </c>
      <c r="AG241">
        <f t="shared" si="29"/>
        <v>0</v>
      </c>
    </row>
    <row r="242" spans="27:33" hidden="1" x14ac:dyDescent="0.25">
      <c r="AA242" t="s">
        <v>287</v>
      </c>
      <c r="AB242" s="1" t="s">
        <v>0</v>
      </c>
      <c r="AC242" s="1" t="s">
        <v>1</v>
      </c>
      <c r="AD242" s="1" t="s">
        <v>1914</v>
      </c>
      <c r="AE242" s="1" t="s">
        <v>7</v>
      </c>
      <c r="AF242" s="1" t="s">
        <v>11</v>
      </c>
      <c r="AG242">
        <f t="shared" si="29"/>
        <v>0</v>
      </c>
    </row>
    <row r="243" spans="27:33" hidden="1" x14ac:dyDescent="0.25">
      <c r="AA243" t="s">
        <v>1190</v>
      </c>
      <c r="AB243" s="1" t="s">
        <v>6</v>
      </c>
      <c r="AC243" s="1" t="s">
        <v>8</v>
      </c>
      <c r="AD243" s="1" t="s">
        <v>1914</v>
      </c>
      <c r="AE243" s="1" t="s">
        <v>7</v>
      </c>
      <c r="AF243" s="1" t="s">
        <v>5</v>
      </c>
      <c r="AG243">
        <f t="shared" si="29"/>
        <v>0</v>
      </c>
    </row>
    <row r="244" spans="27:33" hidden="1" x14ac:dyDescent="0.25">
      <c r="AA244" t="s">
        <v>300</v>
      </c>
      <c r="AB244" s="1" t="s">
        <v>0</v>
      </c>
      <c r="AC244" s="1" t="s">
        <v>1</v>
      </c>
      <c r="AD244" s="1" t="s">
        <v>7</v>
      </c>
      <c r="AE244" s="1" t="s">
        <v>7</v>
      </c>
      <c r="AF244" s="1" t="s">
        <v>5</v>
      </c>
      <c r="AG244">
        <f t="shared" si="29"/>
        <v>0</v>
      </c>
    </row>
    <row r="245" spans="27:33" hidden="1" x14ac:dyDescent="0.25">
      <c r="AA245" t="s">
        <v>2015</v>
      </c>
      <c r="AB245" s="1" t="s">
        <v>7</v>
      </c>
      <c r="AC245" s="1" t="s">
        <v>1</v>
      </c>
      <c r="AD245" s="1" t="s">
        <v>2</v>
      </c>
      <c r="AE245" s="1" t="s">
        <v>11</v>
      </c>
      <c r="AF245" s="1" t="s">
        <v>3</v>
      </c>
      <c r="AG245">
        <f t="shared" si="29"/>
        <v>0</v>
      </c>
    </row>
    <row r="246" spans="27:33" hidden="1" x14ac:dyDescent="0.25">
      <c r="AA246" t="s">
        <v>86</v>
      </c>
      <c r="AB246" s="1" t="s">
        <v>1</v>
      </c>
      <c r="AC246" s="1" t="s">
        <v>6</v>
      </c>
      <c r="AD246" s="1" t="s">
        <v>1915</v>
      </c>
      <c r="AE246" s="1" t="s">
        <v>1</v>
      </c>
      <c r="AF246" s="1" t="s">
        <v>2</v>
      </c>
      <c r="AG246">
        <f t="shared" si="29"/>
        <v>0</v>
      </c>
    </row>
    <row r="247" spans="27:33" hidden="1" x14ac:dyDescent="0.25">
      <c r="AA247" t="s">
        <v>1436</v>
      </c>
      <c r="AB247" s="1" t="s">
        <v>3</v>
      </c>
      <c r="AC247" s="1" t="s">
        <v>1</v>
      </c>
      <c r="AD247" s="1" t="s">
        <v>13</v>
      </c>
      <c r="AE247" s="1" t="s">
        <v>9</v>
      </c>
      <c r="AF247" s="1" t="s">
        <v>1</v>
      </c>
      <c r="AG247">
        <f t="shared" si="29"/>
        <v>0</v>
      </c>
    </row>
    <row r="248" spans="27:33" hidden="1" x14ac:dyDescent="0.25">
      <c r="AA248" t="s">
        <v>296</v>
      </c>
      <c r="AB248" s="1" t="s">
        <v>0</v>
      </c>
      <c r="AC248" s="1" t="s">
        <v>1</v>
      </c>
      <c r="AD248" s="1" t="s">
        <v>7</v>
      </c>
      <c r="AE248" s="1" t="s">
        <v>0</v>
      </c>
      <c r="AF248" s="1" t="s">
        <v>11</v>
      </c>
      <c r="AG248">
        <f t="shared" si="29"/>
        <v>0</v>
      </c>
    </row>
    <row r="249" spans="27:33" hidden="1" x14ac:dyDescent="0.25">
      <c r="AA249" t="s">
        <v>2128</v>
      </c>
      <c r="AB249" s="1" t="s">
        <v>11</v>
      </c>
      <c r="AC249" s="1" t="s">
        <v>2</v>
      </c>
      <c r="AD249" s="1" t="s">
        <v>4</v>
      </c>
      <c r="AE249" s="1" t="s">
        <v>10</v>
      </c>
      <c r="AF249" s="1" t="s">
        <v>5</v>
      </c>
      <c r="AG249">
        <f t="shared" si="29"/>
        <v>0</v>
      </c>
    </row>
    <row r="250" spans="27:33" hidden="1" x14ac:dyDescent="0.25">
      <c r="AA250" t="s">
        <v>880</v>
      </c>
      <c r="AB250" s="1" t="s">
        <v>15</v>
      </c>
      <c r="AC250" s="1" t="s">
        <v>1</v>
      </c>
      <c r="AD250" s="1" t="s">
        <v>13</v>
      </c>
      <c r="AE250" s="1" t="s">
        <v>1</v>
      </c>
      <c r="AF250" s="1" t="s">
        <v>3</v>
      </c>
      <c r="AG250">
        <f t="shared" si="29"/>
        <v>0</v>
      </c>
    </row>
    <row r="251" spans="27:33" hidden="1" x14ac:dyDescent="0.25">
      <c r="AA251" t="s">
        <v>469</v>
      </c>
      <c r="AB251" s="1" t="s">
        <v>0</v>
      </c>
      <c r="AC251" s="1" t="s">
        <v>3</v>
      </c>
      <c r="AD251" s="1" t="s">
        <v>11</v>
      </c>
      <c r="AE251" s="1" t="s">
        <v>1915</v>
      </c>
      <c r="AF251" s="1" t="s">
        <v>5</v>
      </c>
      <c r="AG251">
        <f t="shared" si="29"/>
        <v>0</v>
      </c>
    </row>
    <row r="252" spans="27:33" hidden="1" x14ac:dyDescent="0.25">
      <c r="AA252" t="s">
        <v>459</v>
      </c>
      <c r="AB252" s="1" t="s">
        <v>0</v>
      </c>
      <c r="AC252" s="1" t="s">
        <v>5</v>
      </c>
      <c r="AD252" s="1" t="s">
        <v>3</v>
      </c>
      <c r="AE252" s="1" t="s">
        <v>12</v>
      </c>
      <c r="AF252" s="1" t="s">
        <v>5</v>
      </c>
      <c r="AG252">
        <f t="shared" si="29"/>
        <v>0</v>
      </c>
    </row>
    <row r="253" spans="27:33" hidden="1" x14ac:dyDescent="0.25">
      <c r="AA253" t="s">
        <v>1828</v>
      </c>
      <c r="AB253" s="1" t="s">
        <v>1919</v>
      </c>
      <c r="AC253" s="1" t="s">
        <v>11</v>
      </c>
      <c r="AD253" s="1" t="s">
        <v>6</v>
      </c>
      <c r="AE253" s="1" t="s">
        <v>1</v>
      </c>
      <c r="AF253" s="1" t="s">
        <v>7</v>
      </c>
      <c r="AG253">
        <f t="shared" si="29"/>
        <v>0</v>
      </c>
    </row>
    <row r="254" spans="27:33" hidden="1" x14ac:dyDescent="0.25">
      <c r="AA254" t="s">
        <v>918</v>
      </c>
      <c r="AB254" s="1" t="s">
        <v>7</v>
      </c>
      <c r="AC254" s="1" t="s">
        <v>1</v>
      </c>
      <c r="AD254" s="1" t="s">
        <v>0</v>
      </c>
      <c r="AE254" s="1" t="s">
        <v>3</v>
      </c>
      <c r="AF254" s="1" t="s">
        <v>11</v>
      </c>
      <c r="AG254">
        <f t="shared" si="29"/>
        <v>0</v>
      </c>
    </row>
    <row r="255" spans="27:33" hidden="1" x14ac:dyDescent="0.25">
      <c r="AA255" t="s">
        <v>43</v>
      </c>
      <c r="AB255" s="1" t="s">
        <v>1</v>
      </c>
      <c r="AC255" s="1" t="s">
        <v>1921</v>
      </c>
      <c r="AD255" s="1" t="s">
        <v>8</v>
      </c>
      <c r="AE255" s="1" t="s">
        <v>1915</v>
      </c>
      <c r="AF255" s="1" t="s">
        <v>5</v>
      </c>
      <c r="AG255">
        <f t="shared" si="29"/>
        <v>0</v>
      </c>
    </row>
    <row r="256" spans="27:33" hidden="1" x14ac:dyDescent="0.25">
      <c r="AA256" t="s">
        <v>1143</v>
      </c>
      <c r="AB256" s="1" t="s">
        <v>6</v>
      </c>
      <c r="AC256" s="1" t="s">
        <v>1</v>
      </c>
      <c r="AD256" s="1" t="s">
        <v>1915</v>
      </c>
      <c r="AE256" s="1" t="s">
        <v>10</v>
      </c>
      <c r="AF256" s="1" t="s">
        <v>11</v>
      </c>
      <c r="AG256">
        <f t="shared" si="29"/>
        <v>0</v>
      </c>
    </row>
    <row r="257" spans="27:33" hidden="1" x14ac:dyDescent="0.25">
      <c r="AA257" t="s">
        <v>1684</v>
      </c>
      <c r="AB257" s="1" t="s">
        <v>4</v>
      </c>
      <c r="AC257" s="1" t="s">
        <v>11</v>
      </c>
      <c r="AD257" s="1" t="s">
        <v>13</v>
      </c>
      <c r="AE257" s="1" t="s">
        <v>11</v>
      </c>
      <c r="AF257" s="1" t="s">
        <v>3</v>
      </c>
      <c r="AG257">
        <f t="shared" si="29"/>
        <v>0</v>
      </c>
    </row>
    <row r="258" spans="27:33" hidden="1" x14ac:dyDescent="0.25">
      <c r="AA258" t="s">
        <v>665</v>
      </c>
      <c r="AB258" s="1" t="s">
        <v>1920</v>
      </c>
      <c r="AC258" s="1" t="s">
        <v>7</v>
      </c>
      <c r="AD258" s="1" t="s">
        <v>10</v>
      </c>
      <c r="AE258" s="1" t="s">
        <v>9</v>
      </c>
      <c r="AF258" s="1" t="s">
        <v>11</v>
      </c>
      <c r="AG258">
        <f t="shared" si="29"/>
        <v>0</v>
      </c>
    </row>
    <row r="259" spans="27:33" hidden="1" x14ac:dyDescent="0.25">
      <c r="AA259" t="s">
        <v>637</v>
      </c>
      <c r="AB259" s="1" t="s">
        <v>1920</v>
      </c>
      <c r="AC259" s="1" t="s">
        <v>10</v>
      </c>
      <c r="AD259" s="1" t="s">
        <v>1</v>
      </c>
      <c r="AE259" s="1" t="s">
        <v>1915</v>
      </c>
      <c r="AF259" s="1" t="s">
        <v>1</v>
      </c>
      <c r="AG259">
        <f t="shared" ref="AG259:AG322" si="31">IF(AND(Z259&gt;0,Z259&lt;7),AG258+1,0)</f>
        <v>0</v>
      </c>
    </row>
    <row r="260" spans="27:33" hidden="1" x14ac:dyDescent="0.25">
      <c r="AA260" t="s">
        <v>1672</v>
      </c>
      <c r="AB260" s="1" t="s">
        <v>4</v>
      </c>
      <c r="AC260" s="1" t="s">
        <v>1</v>
      </c>
      <c r="AD260" s="1" t="s">
        <v>3</v>
      </c>
      <c r="AE260" s="1" t="s">
        <v>4</v>
      </c>
      <c r="AF260" s="1" t="s">
        <v>1</v>
      </c>
      <c r="AG260">
        <f t="shared" si="31"/>
        <v>0</v>
      </c>
    </row>
    <row r="261" spans="27:33" hidden="1" x14ac:dyDescent="0.25">
      <c r="AA261" t="s">
        <v>2211</v>
      </c>
      <c r="AB261" s="1" t="s">
        <v>1915</v>
      </c>
      <c r="AC261" s="1" t="s">
        <v>5</v>
      </c>
      <c r="AD261" s="1" t="s">
        <v>6</v>
      </c>
      <c r="AE261" s="1" t="s">
        <v>8</v>
      </c>
      <c r="AF261" s="1" t="s">
        <v>4</v>
      </c>
      <c r="AG261">
        <f t="shared" si="31"/>
        <v>0</v>
      </c>
    </row>
    <row r="262" spans="27:33" hidden="1" x14ac:dyDescent="0.25">
      <c r="AA262" t="s">
        <v>1564</v>
      </c>
      <c r="AB262" s="1" t="s">
        <v>2</v>
      </c>
      <c r="AC262" s="1" t="s">
        <v>11</v>
      </c>
      <c r="AD262" s="1" t="s">
        <v>7</v>
      </c>
      <c r="AE262" s="1" t="s">
        <v>1920</v>
      </c>
      <c r="AF262" s="1" t="s">
        <v>10</v>
      </c>
      <c r="AG262">
        <f t="shared" si="31"/>
        <v>0</v>
      </c>
    </row>
    <row r="263" spans="27:33" hidden="1" x14ac:dyDescent="0.25">
      <c r="AA263" t="s">
        <v>1234</v>
      </c>
      <c r="AB263" s="1" t="s">
        <v>5</v>
      </c>
      <c r="AC263" s="1" t="s">
        <v>2</v>
      </c>
      <c r="AD263" s="1" t="s">
        <v>1</v>
      </c>
      <c r="AE263" s="1" t="s">
        <v>1915</v>
      </c>
      <c r="AF263" s="1" t="s">
        <v>1</v>
      </c>
      <c r="AG263">
        <f t="shared" si="31"/>
        <v>0</v>
      </c>
    </row>
    <row r="264" spans="27:33" hidden="1" x14ac:dyDescent="0.25">
      <c r="AA264" t="s">
        <v>2246</v>
      </c>
      <c r="AB264" s="1" t="s">
        <v>2</v>
      </c>
      <c r="AC264" s="1" t="s">
        <v>1</v>
      </c>
      <c r="AD264" s="1" t="s">
        <v>12</v>
      </c>
      <c r="AE264" s="1" t="s">
        <v>5</v>
      </c>
      <c r="AF264" s="1" t="s">
        <v>6</v>
      </c>
      <c r="AG264">
        <f t="shared" si="31"/>
        <v>0</v>
      </c>
    </row>
    <row r="265" spans="27:33" hidden="1" x14ac:dyDescent="0.25">
      <c r="AA265" t="s">
        <v>2216</v>
      </c>
      <c r="AB265" s="1" t="s">
        <v>13</v>
      </c>
      <c r="AC265" s="1" t="s">
        <v>1</v>
      </c>
      <c r="AD265" s="1" t="s">
        <v>4</v>
      </c>
      <c r="AE265" s="1" t="s">
        <v>5</v>
      </c>
      <c r="AF265" s="1" t="s">
        <v>6</v>
      </c>
      <c r="AG265">
        <f t="shared" si="31"/>
        <v>0</v>
      </c>
    </row>
    <row r="266" spans="27:33" hidden="1" x14ac:dyDescent="0.25">
      <c r="AA266" t="s">
        <v>486</v>
      </c>
      <c r="AB266" s="1" t="s">
        <v>0</v>
      </c>
      <c r="AC266" s="1" t="s">
        <v>8</v>
      </c>
      <c r="AD266" s="1" t="s">
        <v>1914</v>
      </c>
      <c r="AE266" s="1" t="s">
        <v>10</v>
      </c>
      <c r="AF266" s="1" t="s">
        <v>7</v>
      </c>
      <c r="AG266">
        <f t="shared" si="31"/>
        <v>0</v>
      </c>
    </row>
    <row r="267" spans="27:33" hidden="1" x14ac:dyDescent="0.25">
      <c r="AA267" t="s">
        <v>1853</v>
      </c>
      <c r="AB267" s="1" t="s">
        <v>1919</v>
      </c>
      <c r="AC267" s="1" t="s">
        <v>10</v>
      </c>
      <c r="AD267" s="1" t="s">
        <v>3</v>
      </c>
      <c r="AE267" s="1" t="s">
        <v>1921</v>
      </c>
      <c r="AF267" s="1" t="s">
        <v>5</v>
      </c>
      <c r="AG267">
        <f t="shared" si="31"/>
        <v>0</v>
      </c>
    </row>
    <row r="268" spans="27:33" hidden="1" x14ac:dyDescent="0.25">
      <c r="AA268" t="s">
        <v>1683</v>
      </c>
      <c r="AB268" s="1" t="s">
        <v>4</v>
      </c>
      <c r="AC268" s="1" t="s">
        <v>11</v>
      </c>
      <c r="AD268" s="1" t="s">
        <v>7</v>
      </c>
      <c r="AE268" s="1" t="s">
        <v>1</v>
      </c>
      <c r="AF268" s="1" t="s">
        <v>3</v>
      </c>
      <c r="AG268">
        <f t="shared" si="31"/>
        <v>0</v>
      </c>
    </row>
    <row r="269" spans="27:33" hidden="1" x14ac:dyDescent="0.25">
      <c r="AA269" t="s">
        <v>727</v>
      </c>
      <c r="AB269" s="1" t="s">
        <v>1921</v>
      </c>
      <c r="AC269" s="1" t="s">
        <v>11</v>
      </c>
      <c r="AD269" s="1" t="s">
        <v>13</v>
      </c>
      <c r="AE269" s="1" t="s">
        <v>10</v>
      </c>
      <c r="AF269" s="1" t="s">
        <v>3</v>
      </c>
      <c r="AG269">
        <f t="shared" si="31"/>
        <v>0</v>
      </c>
    </row>
    <row r="270" spans="27:33" hidden="1" x14ac:dyDescent="0.25">
      <c r="AA270" t="s">
        <v>109</v>
      </c>
      <c r="AB270" s="1" t="s">
        <v>1</v>
      </c>
      <c r="AC270" s="1" t="s">
        <v>3</v>
      </c>
      <c r="AD270" s="1" t="s">
        <v>1</v>
      </c>
      <c r="AE270" s="1" t="s">
        <v>1916</v>
      </c>
      <c r="AF270" s="1" t="s">
        <v>1</v>
      </c>
      <c r="AG270">
        <f t="shared" si="31"/>
        <v>0</v>
      </c>
    </row>
    <row r="271" spans="27:33" hidden="1" x14ac:dyDescent="0.25">
      <c r="AA271" t="s">
        <v>1580</v>
      </c>
      <c r="AB271" s="1" t="s">
        <v>2</v>
      </c>
      <c r="AC271" s="1" t="s">
        <v>11</v>
      </c>
      <c r="AD271" s="1" t="s">
        <v>2</v>
      </c>
      <c r="AE271" s="1" t="s">
        <v>1921</v>
      </c>
      <c r="AF271" s="1" t="s">
        <v>5</v>
      </c>
      <c r="AG271">
        <f t="shared" si="31"/>
        <v>0</v>
      </c>
    </row>
    <row r="272" spans="27:33" hidden="1" x14ac:dyDescent="0.25">
      <c r="AA272" t="s">
        <v>1021</v>
      </c>
      <c r="AB272" s="1" t="s">
        <v>13</v>
      </c>
      <c r="AC272" s="1" t="s">
        <v>1</v>
      </c>
      <c r="AD272" s="1" t="s">
        <v>6</v>
      </c>
      <c r="AE272" s="1" t="s">
        <v>0</v>
      </c>
      <c r="AF272" s="1" t="s">
        <v>1</v>
      </c>
      <c r="AG272">
        <f t="shared" si="31"/>
        <v>0</v>
      </c>
    </row>
    <row r="273" spans="27:33" hidden="1" x14ac:dyDescent="0.25">
      <c r="AA273" t="s">
        <v>707</v>
      </c>
      <c r="AB273" s="1" t="s">
        <v>1921</v>
      </c>
      <c r="AC273" s="1" t="s">
        <v>1</v>
      </c>
      <c r="AD273" s="1" t="s">
        <v>0</v>
      </c>
      <c r="AE273" s="1" t="s">
        <v>1917</v>
      </c>
      <c r="AF273" s="1" t="s">
        <v>1</v>
      </c>
      <c r="AG273">
        <f t="shared" si="31"/>
        <v>0</v>
      </c>
    </row>
    <row r="274" spans="27:33" hidden="1" x14ac:dyDescent="0.25">
      <c r="AA274" t="s">
        <v>914</v>
      </c>
      <c r="AB274" s="1" t="s">
        <v>7</v>
      </c>
      <c r="AC274" s="1" t="s">
        <v>1</v>
      </c>
      <c r="AD274" s="1" t="s">
        <v>1914</v>
      </c>
      <c r="AE274" s="1" t="s">
        <v>5</v>
      </c>
      <c r="AF274" s="1" t="s">
        <v>3</v>
      </c>
      <c r="AG274">
        <f t="shared" si="31"/>
        <v>0</v>
      </c>
    </row>
    <row r="275" spans="27:33" hidden="1" x14ac:dyDescent="0.25">
      <c r="AA275" t="s">
        <v>1380</v>
      </c>
      <c r="AB275" s="1" t="s">
        <v>9</v>
      </c>
      <c r="AC275" s="1" t="s">
        <v>5</v>
      </c>
      <c r="AD275" s="1" t="s">
        <v>3</v>
      </c>
      <c r="AE275" s="1" t="s">
        <v>6</v>
      </c>
      <c r="AF275" s="1" t="s">
        <v>5</v>
      </c>
      <c r="AG275">
        <f t="shared" si="31"/>
        <v>0</v>
      </c>
    </row>
    <row r="276" spans="27:33" hidden="1" x14ac:dyDescent="0.25">
      <c r="AA276" t="s">
        <v>541</v>
      </c>
      <c r="AB276" s="1" t="s">
        <v>1915</v>
      </c>
      <c r="AC276" s="1" t="s">
        <v>5</v>
      </c>
      <c r="AD276" s="1" t="s">
        <v>0</v>
      </c>
      <c r="AE276" s="1" t="s">
        <v>4</v>
      </c>
      <c r="AF276" s="1" t="s">
        <v>1</v>
      </c>
      <c r="AG276">
        <f t="shared" si="31"/>
        <v>0</v>
      </c>
    </row>
    <row r="277" spans="27:33" hidden="1" x14ac:dyDescent="0.25">
      <c r="AA277" t="s">
        <v>1316</v>
      </c>
      <c r="AB277" s="1" t="s">
        <v>9</v>
      </c>
      <c r="AC277" s="1" t="s">
        <v>11</v>
      </c>
      <c r="AD277" s="1" t="s">
        <v>2</v>
      </c>
      <c r="AE277" s="1" t="s">
        <v>1</v>
      </c>
      <c r="AF277" s="1" t="s">
        <v>3</v>
      </c>
      <c r="AG277">
        <f t="shared" si="31"/>
        <v>0</v>
      </c>
    </row>
    <row r="278" spans="27:33" hidden="1" x14ac:dyDescent="0.25">
      <c r="AA278" t="s">
        <v>294</v>
      </c>
      <c r="AB278" s="1" t="s">
        <v>0</v>
      </c>
      <c r="AC278" s="1" t="s">
        <v>1</v>
      </c>
      <c r="AD278" s="1" t="s">
        <v>1921</v>
      </c>
      <c r="AE278" s="1" t="s">
        <v>8</v>
      </c>
      <c r="AF278" s="1" t="s">
        <v>11</v>
      </c>
      <c r="AG278">
        <f t="shared" si="31"/>
        <v>0</v>
      </c>
    </row>
    <row r="279" spans="27:33" hidden="1" x14ac:dyDescent="0.25">
      <c r="AA279" t="s">
        <v>611</v>
      </c>
      <c r="AB279" s="1" t="s">
        <v>1920</v>
      </c>
      <c r="AC279" s="1" t="s">
        <v>1</v>
      </c>
      <c r="AD279" s="1" t="s">
        <v>7</v>
      </c>
      <c r="AE279" s="1" t="s">
        <v>7</v>
      </c>
      <c r="AF279" s="1" t="s">
        <v>5</v>
      </c>
      <c r="AG279">
        <f t="shared" si="31"/>
        <v>0</v>
      </c>
    </row>
    <row r="280" spans="27:33" hidden="1" x14ac:dyDescent="0.25">
      <c r="AA280" t="s">
        <v>1157</v>
      </c>
      <c r="AB280" s="1" t="s">
        <v>6</v>
      </c>
      <c r="AC280" s="1" t="s">
        <v>11</v>
      </c>
      <c r="AD280" s="1" t="s">
        <v>1921</v>
      </c>
      <c r="AE280" s="1" t="s">
        <v>3</v>
      </c>
      <c r="AF280" s="1" t="s">
        <v>1</v>
      </c>
      <c r="AG280">
        <f t="shared" si="31"/>
        <v>0</v>
      </c>
    </row>
    <row r="281" spans="27:33" hidden="1" x14ac:dyDescent="0.25">
      <c r="AA281" t="s">
        <v>1109</v>
      </c>
      <c r="AB281" s="1" t="s">
        <v>13</v>
      </c>
      <c r="AC281" s="1" t="s">
        <v>5</v>
      </c>
      <c r="AD281" s="1" t="s">
        <v>3</v>
      </c>
      <c r="AE281" s="1" t="s">
        <v>1914</v>
      </c>
      <c r="AF281" s="1" t="s">
        <v>5</v>
      </c>
      <c r="AG281">
        <f t="shared" si="31"/>
        <v>0</v>
      </c>
    </row>
    <row r="282" spans="27:33" hidden="1" x14ac:dyDescent="0.25">
      <c r="AA282" t="s">
        <v>755</v>
      </c>
      <c r="AB282" s="1" t="s">
        <v>1921</v>
      </c>
      <c r="AC282" s="1" t="s">
        <v>3</v>
      </c>
      <c r="AD282" s="1" t="s">
        <v>1</v>
      </c>
      <c r="AE282" s="1" t="s">
        <v>15</v>
      </c>
      <c r="AF282" s="1" t="s">
        <v>5</v>
      </c>
      <c r="AG282">
        <f t="shared" si="31"/>
        <v>0</v>
      </c>
    </row>
    <row r="283" spans="27:33" hidden="1" x14ac:dyDescent="0.25">
      <c r="AA283" t="s">
        <v>947</v>
      </c>
      <c r="AB283" s="1" t="s">
        <v>7</v>
      </c>
      <c r="AC283" s="1" t="s">
        <v>11</v>
      </c>
      <c r="AD283" s="1" t="s">
        <v>4</v>
      </c>
      <c r="AE283" s="1" t="s">
        <v>1</v>
      </c>
      <c r="AF283" s="1" t="s">
        <v>7</v>
      </c>
      <c r="AG283">
        <f t="shared" si="31"/>
        <v>0</v>
      </c>
    </row>
    <row r="284" spans="27:33" hidden="1" x14ac:dyDescent="0.25">
      <c r="AA284" t="s">
        <v>1086</v>
      </c>
      <c r="AB284" s="1" t="s">
        <v>13</v>
      </c>
      <c r="AC284" s="1" t="s">
        <v>10</v>
      </c>
      <c r="AD284" s="1" t="s">
        <v>2</v>
      </c>
      <c r="AE284" s="1" t="s">
        <v>13</v>
      </c>
      <c r="AF284" s="1" t="s">
        <v>1</v>
      </c>
      <c r="AG284">
        <f t="shared" si="31"/>
        <v>0</v>
      </c>
    </row>
    <row r="285" spans="27:33" hidden="1" x14ac:dyDescent="0.25">
      <c r="AA285" t="s">
        <v>247</v>
      </c>
      <c r="AB285" s="1" t="s">
        <v>1914</v>
      </c>
      <c r="AC285" s="1" t="s">
        <v>3</v>
      </c>
      <c r="AD285" s="1" t="s">
        <v>11</v>
      </c>
      <c r="AE285" s="1" t="s">
        <v>1921</v>
      </c>
      <c r="AF285" s="1" t="s">
        <v>1</v>
      </c>
      <c r="AG285">
        <f t="shared" si="31"/>
        <v>0</v>
      </c>
    </row>
    <row r="286" spans="27:33" hidden="1" x14ac:dyDescent="0.25">
      <c r="AA286" t="s">
        <v>1510</v>
      </c>
      <c r="AB286" s="1" t="s">
        <v>3</v>
      </c>
      <c r="AC286" s="1" t="s">
        <v>8</v>
      </c>
      <c r="AD286" s="1" t="s">
        <v>1914</v>
      </c>
      <c r="AE286" s="1" t="s">
        <v>10</v>
      </c>
      <c r="AF286" s="1" t="s">
        <v>5</v>
      </c>
      <c r="AG286">
        <f t="shared" si="31"/>
        <v>0</v>
      </c>
    </row>
    <row r="287" spans="27:33" hidden="1" x14ac:dyDescent="0.25">
      <c r="AA287" t="s">
        <v>1411</v>
      </c>
      <c r="AB287" s="1" t="s">
        <v>9</v>
      </c>
      <c r="AC287" s="1" t="s">
        <v>8</v>
      </c>
      <c r="AD287" s="1" t="s">
        <v>6</v>
      </c>
      <c r="AE287" s="1" t="s">
        <v>10</v>
      </c>
      <c r="AF287" s="1" t="s">
        <v>3</v>
      </c>
      <c r="AG287">
        <f t="shared" si="31"/>
        <v>0</v>
      </c>
    </row>
    <row r="288" spans="27:33" hidden="1" x14ac:dyDescent="0.25">
      <c r="AA288" t="s">
        <v>1333</v>
      </c>
      <c r="AB288" s="1" t="s">
        <v>9</v>
      </c>
      <c r="AC288" s="1" t="s">
        <v>10</v>
      </c>
      <c r="AD288" s="1" t="s">
        <v>6</v>
      </c>
      <c r="AE288" s="1" t="s">
        <v>4</v>
      </c>
      <c r="AF288" s="1" t="s">
        <v>1</v>
      </c>
      <c r="AG288">
        <f t="shared" si="31"/>
        <v>0</v>
      </c>
    </row>
    <row r="289" spans="27:33" hidden="1" x14ac:dyDescent="0.25">
      <c r="AA289" t="s">
        <v>840</v>
      </c>
      <c r="AB289" s="1" t="s">
        <v>1917</v>
      </c>
      <c r="AC289" s="1" t="s">
        <v>5</v>
      </c>
      <c r="AD289" s="1" t="s">
        <v>2</v>
      </c>
      <c r="AE289" s="1" t="s">
        <v>0</v>
      </c>
      <c r="AF289" s="1" t="s">
        <v>1</v>
      </c>
      <c r="AG289">
        <f t="shared" si="31"/>
        <v>0</v>
      </c>
    </row>
    <row r="290" spans="27:33" hidden="1" x14ac:dyDescent="0.25">
      <c r="AA290" t="s">
        <v>623</v>
      </c>
      <c r="AB290" s="1" t="s">
        <v>1920</v>
      </c>
      <c r="AC290" s="1" t="s">
        <v>1</v>
      </c>
      <c r="AD290" s="1" t="s">
        <v>4</v>
      </c>
      <c r="AE290" s="1" t="s">
        <v>8</v>
      </c>
      <c r="AF290" s="1" t="s">
        <v>5</v>
      </c>
      <c r="AG290">
        <f t="shared" si="31"/>
        <v>0</v>
      </c>
    </row>
    <row r="291" spans="27:33" hidden="1" x14ac:dyDescent="0.25">
      <c r="AA291" t="s">
        <v>307</v>
      </c>
      <c r="AB291" s="1" t="s">
        <v>0</v>
      </c>
      <c r="AC291" s="1" t="s">
        <v>1</v>
      </c>
      <c r="AD291" s="1" t="s">
        <v>7</v>
      </c>
      <c r="AE291" s="1" t="s">
        <v>12</v>
      </c>
      <c r="AF291" s="1" t="s">
        <v>5</v>
      </c>
      <c r="AG291">
        <f t="shared" si="31"/>
        <v>0</v>
      </c>
    </row>
    <row r="292" spans="27:33" hidden="1" x14ac:dyDescent="0.25">
      <c r="AA292" t="s">
        <v>274</v>
      </c>
      <c r="AB292" s="1" t="s">
        <v>1914</v>
      </c>
      <c r="AC292" s="1" t="s">
        <v>8</v>
      </c>
      <c r="AD292" s="1" t="s">
        <v>1923</v>
      </c>
      <c r="AE292" s="1" t="s">
        <v>8</v>
      </c>
      <c r="AF292" s="1" t="s">
        <v>11</v>
      </c>
      <c r="AG292">
        <f t="shared" si="31"/>
        <v>0</v>
      </c>
    </row>
    <row r="293" spans="27:33" hidden="1" x14ac:dyDescent="0.25">
      <c r="AA293" t="s">
        <v>113</v>
      </c>
      <c r="AB293" s="1" t="s">
        <v>1</v>
      </c>
      <c r="AC293" s="1" t="s">
        <v>3</v>
      </c>
      <c r="AD293" s="1" t="s">
        <v>1915</v>
      </c>
      <c r="AE293" s="1" t="s">
        <v>8</v>
      </c>
      <c r="AF293" s="1" t="s">
        <v>1</v>
      </c>
      <c r="AG293">
        <f t="shared" si="31"/>
        <v>0</v>
      </c>
    </row>
    <row r="294" spans="27:33" hidden="1" x14ac:dyDescent="0.25">
      <c r="AA294" t="s">
        <v>232</v>
      </c>
      <c r="AB294" s="1" t="s">
        <v>1914</v>
      </c>
      <c r="AC294" s="1" t="s">
        <v>5</v>
      </c>
      <c r="AD294" s="1" t="s">
        <v>6</v>
      </c>
      <c r="AE294" s="1" t="s">
        <v>8</v>
      </c>
      <c r="AF294" s="1" t="s">
        <v>2</v>
      </c>
      <c r="AG294">
        <f t="shared" si="31"/>
        <v>0</v>
      </c>
    </row>
    <row r="295" spans="27:33" hidden="1" x14ac:dyDescent="0.25">
      <c r="AA295" t="s">
        <v>1685</v>
      </c>
      <c r="AB295" s="1" t="s">
        <v>4</v>
      </c>
      <c r="AC295" s="1" t="s">
        <v>11</v>
      </c>
      <c r="AD295" s="1" t="s">
        <v>13</v>
      </c>
      <c r="AE295" s="1" t="s">
        <v>5</v>
      </c>
      <c r="AF295" s="1" t="s">
        <v>3</v>
      </c>
      <c r="AG295">
        <f t="shared" si="31"/>
        <v>0</v>
      </c>
    </row>
    <row r="296" spans="27:33" hidden="1" x14ac:dyDescent="0.25">
      <c r="AA296" t="s">
        <v>1183</v>
      </c>
      <c r="AB296" s="1" t="s">
        <v>6</v>
      </c>
      <c r="AC296" s="1" t="s">
        <v>5</v>
      </c>
      <c r="AD296" s="1" t="s">
        <v>4</v>
      </c>
      <c r="AE296" s="1" t="s">
        <v>1</v>
      </c>
      <c r="AF296" s="1" t="s">
        <v>3</v>
      </c>
      <c r="AG296">
        <f t="shared" si="31"/>
        <v>0</v>
      </c>
    </row>
    <row r="297" spans="27:33" hidden="1" x14ac:dyDescent="0.25">
      <c r="AA297" t="s">
        <v>1739</v>
      </c>
      <c r="AB297" s="1" t="s">
        <v>4</v>
      </c>
      <c r="AC297" s="1" t="s">
        <v>5</v>
      </c>
      <c r="AD297" s="1" t="s">
        <v>3</v>
      </c>
      <c r="AE297" s="1" t="s">
        <v>6</v>
      </c>
      <c r="AF297" s="1" t="s">
        <v>5</v>
      </c>
      <c r="AG297">
        <f t="shared" si="31"/>
        <v>0</v>
      </c>
    </row>
    <row r="298" spans="27:33" hidden="1" x14ac:dyDescent="0.25">
      <c r="AA298" t="s">
        <v>1329</v>
      </c>
      <c r="AB298" s="1" t="s">
        <v>9</v>
      </c>
      <c r="AC298" s="1" t="s">
        <v>10</v>
      </c>
      <c r="AD298" s="1" t="s">
        <v>7</v>
      </c>
      <c r="AE298" s="1" t="s">
        <v>7</v>
      </c>
      <c r="AF298" s="1" t="s">
        <v>1</v>
      </c>
      <c r="AG298">
        <f t="shared" si="31"/>
        <v>0</v>
      </c>
    </row>
    <row r="299" spans="27:33" hidden="1" x14ac:dyDescent="0.25">
      <c r="AA299" t="s">
        <v>117</v>
      </c>
      <c r="AB299" s="1" t="s">
        <v>1</v>
      </c>
      <c r="AC299" s="1" t="s">
        <v>3</v>
      </c>
      <c r="AD299" s="1" t="s">
        <v>11</v>
      </c>
      <c r="AE299" s="1" t="s">
        <v>4</v>
      </c>
      <c r="AF299" s="1" t="s">
        <v>11</v>
      </c>
      <c r="AG299">
        <f t="shared" si="31"/>
        <v>0</v>
      </c>
    </row>
    <row r="300" spans="27:33" hidden="1" x14ac:dyDescent="0.25">
      <c r="AA300" t="s">
        <v>1540</v>
      </c>
      <c r="AB300" s="1" t="s">
        <v>2</v>
      </c>
      <c r="AC300" s="1" t="s">
        <v>1</v>
      </c>
      <c r="AD300" s="1" t="s">
        <v>7</v>
      </c>
      <c r="AE300" s="1" t="s">
        <v>13</v>
      </c>
      <c r="AF300" s="1" t="s">
        <v>5</v>
      </c>
      <c r="AG300">
        <f t="shared" si="31"/>
        <v>0</v>
      </c>
    </row>
    <row r="301" spans="27:33" hidden="1" x14ac:dyDescent="0.25">
      <c r="AA301" t="s">
        <v>1810</v>
      </c>
      <c r="AB301" s="1" t="s">
        <v>1919</v>
      </c>
      <c r="AC301" s="1" t="s">
        <v>1</v>
      </c>
      <c r="AD301" s="1" t="s">
        <v>7</v>
      </c>
      <c r="AE301" s="1" t="s">
        <v>7</v>
      </c>
      <c r="AF301" s="1" t="s">
        <v>1</v>
      </c>
      <c r="AG301">
        <f t="shared" si="31"/>
        <v>0</v>
      </c>
    </row>
    <row r="302" spans="27:33" hidden="1" x14ac:dyDescent="0.25">
      <c r="AA302" t="s">
        <v>1252</v>
      </c>
      <c r="AB302" s="1" t="s">
        <v>9</v>
      </c>
      <c r="AC302" s="1" t="s">
        <v>1</v>
      </c>
      <c r="AD302" s="1" t="s">
        <v>7</v>
      </c>
      <c r="AE302" s="1" t="s">
        <v>0</v>
      </c>
      <c r="AF302" s="1" t="s">
        <v>5</v>
      </c>
      <c r="AG302">
        <f t="shared" si="31"/>
        <v>0</v>
      </c>
    </row>
    <row r="303" spans="27:33" hidden="1" x14ac:dyDescent="0.25">
      <c r="AA303" t="s">
        <v>1893</v>
      </c>
      <c r="AB303" s="1" t="s">
        <v>1918</v>
      </c>
      <c r="AC303" s="1" t="s">
        <v>8</v>
      </c>
      <c r="AD303" s="1" t="s">
        <v>6</v>
      </c>
      <c r="AE303" s="1" t="s">
        <v>4</v>
      </c>
      <c r="AF303" s="1" t="s">
        <v>1</v>
      </c>
      <c r="AG303">
        <f t="shared" si="31"/>
        <v>0</v>
      </c>
    </row>
    <row r="304" spans="27:33" hidden="1" x14ac:dyDescent="0.25">
      <c r="AA304" t="s">
        <v>530</v>
      </c>
      <c r="AB304" s="1" t="s">
        <v>1915</v>
      </c>
      <c r="AC304" s="1" t="s">
        <v>10</v>
      </c>
      <c r="AD304" s="1" t="s">
        <v>0</v>
      </c>
      <c r="AE304" s="1" t="s">
        <v>1917</v>
      </c>
      <c r="AF304" s="1" t="s">
        <v>5</v>
      </c>
      <c r="AG304">
        <f t="shared" si="31"/>
        <v>0</v>
      </c>
    </row>
    <row r="305" spans="27:33" hidden="1" x14ac:dyDescent="0.25">
      <c r="AA305" t="s">
        <v>676</v>
      </c>
      <c r="AB305" s="1" t="s">
        <v>1920</v>
      </c>
      <c r="AC305" s="1" t="s">
        <v>5</v>
      </c>
      <c r="AD305" s="1" t="s">
        <v>6</v>
      </c>
      <c r="AE305" s="1" t="s">
        <v>1915</v>
      </c>
      <c r="AF305" s="1" t="s">
        <v>1</v>
      </c>
      <c r="AG305">
        <f t="shared" si="31"/>
        <v>0</v>
      </c>
    </row>
    <row r="306" spans="27:33" hidden="1" x14ac:dyDescent="0.25">
      <c r="AA306" t="s">
        <v>1840</v>
      </c>
      <c r="AB306" s="1" t="s">
        <v>1919</v>
      </c>
      <c r="AC306" s="1" t="s">
        <v>11</v>
      </c>
      <c r="AD306" s="1" t="s">
        <v>4</v>
      </c>
      <c r="AE306" s="1" t="s">
        <v>1</v>
      </c>
      <c r="AF306" s="1" t="s">
        <v>3</v>
      </c>
      <c r="AG306">
        <f t="shared" si="31"/>
        <v>0</v>
      </c>
    </row>
    <row r="307" spans="27:33" hidden="1" x14ac:dyDescent="0.25">
      <c r="AA307" t="s">
        <v>497</v>
      </c>
      <c r="AB307" s="1" t="s">
        <v>0</v>
      </c>
      <c r="AC307" s="1" t="s">
        <v>8</v>
      </c>
      <c r="AD307" s="1" t="s">
        <v>3</v>
      </c>
      <c r="AE307" s="1" t="s">
        <v>10</v>
      </c>
      <c r="AF307" s="1" t="s">
        <v>1</v>
      </c>
      <c r="AG307">
        <f t="shared" si="31"/>
        <v>0</v>
      </c>
    </row>
    <row r="308" spans="27:33" hidden="1" x14ac:dyDescent="0.25">
      <c r="AA308" t="s">
        <v>816</v>
      </c>
      <c r="AB308" s="1" t="s">
        <v>1917</v>
      </c>
      <c r="AC308" s="1" t="s">
        <v>11</v>
      </c>
      <c r="AD308" s="1" t="s">
        <v>6</v>
      </c>
      <c r="AE308" s="1" t="s">
        <v>6</v>
      </c>
      <c r="AF308" s="1" t="s">
        <v>1</v>
      </c>
      <c r="AG308">
        <f t="shared" si="31"/>
        <v>0</v>
      </c>
    </row>
    <row r="309" spans="27:33" hidden="1" x14ac:dyDescent="0.25">
      <c r="AA309" t="s">
        <v>565</v>
      </c>
      <c r="AB309" s="1" t="s">
        <v>1915</v>
      </c>
      <c r="AC309" s="1" t="s">
        <v>8</v>
      </c>
      <c r="AD309" s="1" t="s">
        <v>11</v>
      </c>
      <c r="AE309" s="1" t="s">
        <v>1916</v>
      </c>
      <c r="AF309" s="1" t="s">
        <v>1</v>
      </c>
      <c r="AG309">
        <f t="shared" si="31"/>
        <v>0</v>
      </c>
    </row>
    <row r="310" spans="27:33" hidden="1" x14ac:dyDescent="0.25">
      <c r="AA310" t="s">
        <v>2009</v>
      </c>
      <c r="AB310" s="1" t="s">
        <v>1</v>
      </c>
      <c r="AC310" s="1" t="s">
        <v>1921</v>
      </c>
      <c r="AD310" s="1" t="s">
        <v>1</v>
      </c>
      <c r="AE310" s="1" t="s">
        <v>9</v>
      </c>
      <c r="AF310" s="1" t="s">
        <v>11</v>
      </c>
      <c r="AG310">
        <f t="shared" si="31"/>
        <v>0</v>
      </c>
    </row>
    <row r="311" spans="27:33" hidden="1" x14ac:dyDescent="0.25">
      <c r="AA311" t="s">
        <v>1099</v>
      </c>
      <c r="AB311" s="1" t="s">
        <v>13</v>
      </c>
      <c r="AC311" s="1" t="s">
        <v>5</v>
      </c>
      <c r="AD311" s="1" t="s">
        <v>7</v>
      </c>
      <c r="AE311" s="1" t="s">
        <v>1</v>
      </c>
      <c r="AF311" s="1" t="s">
        <v>3</v>
      </c>
      <c r="AG311">
        <f t="shared" si="31"/>
        <v>0</v>
      </c>
    </row>
    <row r="312" spans="27:33" hidden="1" x14ac:dyDescent="0.25">
      <c r="AA312" t="s">
        <v>311</v>
      </c>
      <c r="AB312" s="1" t="s">
        <v>0</v>
      </c>
      <c r="AC312" s="1" t="s">
        <v>1</v>
      </c>
      <c r="AD312" s="1" t="s">
        <v>6</v>
      </c>
      <c r="AE312" s="1" t="s">
        <v>1</v>
      </c>
      <c r="AF312" s="1" t="s">
        <v>7</v>
      </c>
      <c r="AG312">
        <f t="shared" si="31"/>
        <v>0</v>
      </c>
    </row>
    <row r="313" spans="27:33" hidden="1" x14ac:dyDescent="0.25">
      <c r="AA313" t="s">
        <v>534</v>
      </c>
      <c r="AB313" s="1" t="s">
        <v>1915</v>
      </c>
      <c r="AC313" s="1" t="s">
        <v>10</v>
      </c>
      <c r="AD313" s="1" t="s">
        <v>13</v>
      </c>
      <c r="AE313" s="1" t="s">
        <v>11</v>
      </c>
      <c r="AF313" s="1" t="s">
        <v>2</v>
      </c>
      <c r="AG313">
        <f t="shared" si="31"/>
        <v>0</v>
      </c>
    </row>
    <row r="314" spans="27:33" hidden="1" x14ac:dyDescent="0.25">
      <c r="AA314" t="s">
        <v>944</v>
      </c>
      <c r="AB314" s="1" t="s">
        <v>7</v>
      </c>
      <c r="AC314" s="1" t="s">
        <v>11</v>
      </c>
      <c r="AD314" s="1" t="s">
        <v>9</v>
      </c>
      <c r="AE314" s="1" t="s">
        <v>3</v>
      </c>
      <c r="AF314" s="1" t="s">
        <v>1</v>
      </c>
      <c r="AG314">
        <f t="shared" si="31"/>
        <v>0</v>
      </c>
    </row>
    <row r="315" spans="27:33" hidden="1" x14ac:dyDescent="0.25">
      <c r="AA315" t="s">
        <v>53</v>
      </c>
      <c r="AB315" s="1" t="s">
        <v>1</v>
      </c>
      <c r="AC315" s="1" t="s">
        <v>7</v>
      </c>
      <c r="AD315" s="1" t="s">
        <v>1</v>
      </c>
      <c r="AE315" s="1" t="s">
        <v>1915</v>
      </c>
      <c r="AF315" s="1" t="s">
        <v>1</v>
      </c>
      <c r="AG315">
        <f t="shared" si="31"/>
        <v>0</v>
      </c>
    </row>
    <row r="316" spans="27:33" hidden="1" x14ac:dyDescent="0.25">
      <c r="AA316" t="s">
        <v>1561</v>
      </c>
      <c r="AB316" s="1" t="s">
        <v>2</v>
      </c>
      <c r="AC316" s="1" t="s">
        <v>11</v>
      </c>
      <c r="AD316" s="1" t="s">
        <v>1915</v>
      </c>
      <c r="AE316" s="1" t="s">
        <v>1</v>
      </c>
      <c r="AF316" s="1" t="s">
        <v>7</v>
      </c>
      <c r="AG316">
        <f t="shared" si="31"/>
        <v>0</v>
      </c>
    </row>
    <row r="317" spans="27:33" hidden="1" x14ac:dyDescent="0.25">
      <c r="AA317" t="s">
        <v>895</v>
      </c>
      <c r="AB317" s="1" t="s">
        <v>15</v>
      </c>
      <c r="AC317" s="1" t="s">
        <v>8</v>
      </c>
      <c r="AD317" s="1" t="s">
        <v>1915</v>
      </c>
      <c r="AE317" s="1" t="s">
        <v>1</v>
      </c>
      <c r="AF317" s="1" t="s">
        <v>2</v>
      </c>
      <c r="AG317">
        <f t="shared" si="31"/>
        <v>0</v>
      </c>
    </row>
    <row r="318" spans="27:33" hidden="1" x14ac:dyDescent="0.25">
      <c r="AA318" t="s">
        <v>535</v>
      </c>
      <c r="AB318" s="1" t="s">
        <v>1915</v>
      </c>
      <c r="AC318" s="1" t="s">
        <v>10</v>
      </c>
      <c r="AD318" s="1" t="s">
        <v>6</v>
      </c>
      <c r="AE318" s="1" t="s">
        <v>1</v>
      </c>
      <c r="AF318" s="1" t="s">
        <v>3</v>
      </c>
      <c r="AG318">
        <f t="shared" si="31"/>
        <v>0</v>
      </c>
    </row>
    <row r="319" spans="27:33" hidden="1" x14ac:dyDescent="0.25">
      <c r="AA319" t="s">
        <v>1516</v>
      </c>
      <c r="AB319" s="1" t="s">
        <v>3</v>
      </c>
      <c r="AC319" s="1" t="s">
        <v>8</v>
      </c>
      <c r="AD319" s="1" t="s">
        <v>11</v>
      </c>
      <c r="AE319" s="1" t="s">
        <v>1921</v>
      </c>
      <c r="AF319" s="1" t="s">
        <v>5</v>
      </c>
      <c r="AG319">
        <f t="shared" si="31"/>
        <v>0</v>
      </c>
    </row>
    <row r="320" spans="27:33" hidden="1" x14ac:dyDescent="0.25">
      <c r="AA320" t="s">
        <v>1326</v>
      </c>
      <c r="AB320" s="1" t="s">
        <v>9</v>
      </c>
      <c r="AC320" s="1" t="s">
        <v>10</v>
      </c>
      <c r="AD320" s="1" t="s">
        <v>11</v>
      </c>
      <c r="AE320" s="1" t="s">
        <v>12</v>
      </c>
      <c r="AF320" s="1" t="s">
        <v>1</v>
      </c>
      <c r="AG320">
        <f t="shared" si="31"/>
        <v>0</v>
      </c>
    </row>
    <row r="321" spans="27:33" hidden="1" x14ac:dyDescent="0.25">
      <c r="AA321" t="s">
        <v>58</v>
      </c>
      <c r="AB321" s="1" t="s">
        <v>1</v>
      </c>
      <c r="AC321" s="1" t="s">
        <v>7</v>
      </c>
      <c r="AD321" s="1" t="s">
        <v>11</v>
      </c>
      <c r="AE321" s="1" t="s">
        <v>4</v>
      </c>
      <c r="AF321" s="1" t="s">
        <v>1</v>
      </c>
      <c r="AG321">
        <f t="shared" si="31"/>
        <v>0</v>
      </c>
    </row>
    <row r="322" spans="27:33" hidden="1" x14ac:dyDescent="0.25">
      <c r="AA322" t="s">
        <v>1630</v>
      </c>
      <c r="AB322" s="1" t="s">
        <v>2</v>
      </c>
      <c r="AC322" s="1" t="s">
        <v>8</v>
      </c>
      <c r="AD322" s="1" t="s">
        <v>1915</v>
      </c>
      <c r="AE322" s="1" t="s">
        <v>1</v>
      </c>
      <c r="AF322" s="1" t="s">
        <v>3</v>
      </c>
      <c r="AG322">
        <f t="shared" si="31"/>
        <v>0</v>
      </c>
    </row>
    <row r="323" spans="27:33" hidden="1" x14ac:dyDescent="0.25">
      <c r="AA323" t="s">
        <v>731</v>
      </c>
      <c r="AB323" s="1" t="s">
        <v>1921</v>
      </c>
      <c r="AC323" s="1" t="s">
        <v>11</v>
      </c>
      <c r="AD323" s="1" t="s">
        <v>2</v>
      </c>
      <c r="AE323" s="1" t="s">
        <v>4</v>
      </c>
      <c r="AF323" s="1" t="s">
        <v>1</v>
      </c>
      <c r="AG323">
        <f t="shared" ref="AG323:AG386" si="32">IF(AND(Z323&gt;0,Z323&lt;7),AG322+1,0)</f>
        <v>0</v>
      </c>
    </row>
    <row r="324" spans="27:33" hidden="1" x14ac:dyDescent="0.25">
      <c r="AA324" t="s">
        <v>1759</v>
      </c>
      <c r="AB324" s="1" t="s">
        <v>4</v>
      </c>
      <c r="AC324" s="1" t="s">
        <v>3</v>
      </c>
      <c r="AD324" s="1" t="s">
        <v>1</v>
      </c>
      <c r="AE324" s="1" t="s">
        <v>12</v>
      </c>
      <c r="AF324" s="1" t="s">
        <v>5</v>
      </c>
      <c r="AG324">
        <f t="shared" si="32"/>
        <v>0</v>
      </c>
    </row>
    <row r="325" spans="27:33" hidden="1" x14ac:dyDescent="0.25">
      <c r="AA325" t="s">
        <v>779</v>
      </c>
      <c r="AB325" s="1" t="s">
        <v>1921</v>
      </c>
      <c r="AC325" s="1" t="s">
        <v>3</v>
      </c>
      <c r="AD325" s="1" t="s">
        <v>8</v>
      </c>
      <c r="AE325" s="1" t="s">
        <v>4</v>
      </c>
      <c r="AF325" s="1" t="s">
        <v>1</v>
      </c>
      <c r="AG325">
        <f t="shared" si="32"/>
        <v>0</v>
      </c>
    </row>
    <row r="326" spans="27:33" hidden="1" x14ac:dyDescent="0.25">
      <c r="AA326" t="s">
        <v>316</v>
      </c>
      <c r="AB326" s="1" t="s">
        <v>0</v>
      </c>
      <c r="AC326" s="1" t="s">
        <v>1</v>
      </c>
      <c r="AD326" s="1" t="s">
        <v>6</v>
      </c>
      <c r="AE326" s="1" t="s">
        <v>2</v>
      </c>
      <c r="AF326" s="1" t="s">
        <v>5</v>
      </c>
      <c r="AG326">
        <f t="shared" si="32"/>
        <v>0</v>
      </c>
    </row>
    <row r="327" spans="27:33" hidden="1" x14ac:dyDescent="0.25">
      <c r="AA327" t="s">
        <v>995</v>
      </c>
      <c r="AB327" s="1" t="s">
        <v>7</v>
      </c>
      <c r="AC327" s="1" t="s">
        <v>8</v>
      </c>
      <c r="AD327" s="1" t="s">
        <v>6</v>
      </c>
      <c r="AE327" s="1" t="s">
        <v>1</v>
      </c>
      <c r="AF327" s="1" t="s">
        <v>3</v>
      </c>
      <c r="AG327">
        <f t="shared" si="32"/>
        <v>0</v>
      </c>
    </row>
    <row r="328" spans="27:33" hidden="1" x14ac:dyDescent="0.25">
      <c r="AA328" t="s">
        <v>108</v>
      </c>
      <c r="AB328" s="1" t="s">
        <v>1</v>
      </c>
      <c r="AC328" s="1" t="s">
        <v>3</v>
      </c>
      <c r="AD328" s="1" t="s">
        <v>1</v>
      </c>
      <c r="AE328" s="1" t="s">
        <v>1915</v>
      </c>
      <c r="AF328" s="1" t="s">
        <v>5</v>
      </c>
      <c r="AG328">
        <f t="shared" si="32"/>
        <v>0</v>
      </c>
    </row>
    <row r="329" spans="27:33" hidden="1" x14ac:dyDescent="0.25">
      <c r="AA329" t="s">
        <v>704</v>
      </c>
      <c r="AB329" s="1" t="s">
        <v>1920</v>
      </c>
      <c r="AC329" s="1" t="s">
        <v>8</v>
      </c>
      <c r="AD329" s="1" t="s">
        <v>2</v>
      </c>
      <c r="AE329" s="1" t="s">
        <v>10</v>
      </c>
      <c r="AF329" s="1" t="s">
        <v>7</v>
      </c>
      <c r="AG329">
        <f t="shared" si="32"/>
        <v>0</v>
      </c>
    </row>
    <row r="330" spans="27:33" hidden="1" x14ac:dyDescent="0.25">
      <c r="AA330" t="s">
        <v>352</v>
      </c>
      <c r="AB330" s="1" t="s">
        <v>0</v>
      </c>
      <c r="AC330" s="1" t="s">
        <v>11</v>
      </c>
      <c r="AD330" s="1" t="s">
        <v>0</v>
      </c>
      <c r="AE330" s="1" t="s">
        <v>11</v>
      </c>
      <c r="AF330" s="1" t="s">
        <v>5</v>
      </c>
      <c r="AG330">
        <f t="shared" si="32"/>
        <v>0</v>
      </c>
    </row>
    <row r="331" spans="27:33" hidden="1" x14ac:dyDescent="0.25">
      <c r="AA331" t="s">
        <v>1041</v>
      </c>
      <c r="AB331" s="1" t="s">
        <v>13</v>
      </c>
      <c r="AC331" s="1" t="s">
        <v>1</v>
      </c>
      <c r="AD331" s="1" t="s">
        <v>4</v>
      </c>
      <c r="AE331" s="1" t="s">
        <v>10</v>
      </c>
      <c r="AF331" s="1" t="s">
        <v>12</v>
      </c>
      <c r="AG331">
        <f t="shared" si="32"/>
        <v>0</v>
      </c>
    </row>
    <row r="332" spans="27:33" hidden="1" x14ac:dyDescent="0.25">
      <c r="AA332" t="s">
        <v>998</v>
      </c>
      <c r="AB332" s="1" t="s">
        <v>7</v>
      </c>
      <c r="AC332" s="1" t="s">
        <v>1918</v>
      </c>
      <c r="AD332" s="1" t="s">
        <v>0</v>
      </c>
      <c r="AE332" s="1" t="s">
        <v>3</v>
      </c>
      <c r="AF332" s="1" t="s">
        <v>1</v>
      </c>
      <c r="AG332">
        <f t="shared" si="32"/>
        <v>0</v>
      </c>
    </row>
    <row r="333" spans="27:33" hidden="1" x14ac:dyDescent="0.25">
      <c r="AA333" t="s">
        <v>1502</v>
      </c>
      <c r="AB333" s="1" t="s">
        <v>3</v>
      </c>
      <c r="AC333" s="1" t="s">
        <v>5</v>
      </c>
      <c r="AD333" s="1" t="s">
        <v>1923</v>
      </c>
      <c r="AE333" s="1" t="s">
        <v>8</v>
      </c>
      <c r="AF333" s="1" t="s">
        <v>11</v>
      </c>
      <c r="AG333">
        <f t="shared" si="32"/>
        <v>0</v>
      </c>
    </row>
    <row r="334" spans="27:33" hidden="1" x14ac:dyDescent="0.25">
      <c r="AA334" t="s">
        <v>593</v>
      </c>
      <c r="AB334" s="1" t="s">
        <v>11</v>
      </c>
      <c r="AC334" s="1" t="s">
        <v>3</v>
      </c>
      <c r="AD334" s="1" t="s">
        <v>3</v>
      </c>
      <c r="AE334" s="1" t="s">
        <v>5</v>
      </c>
      <c r="AF334" s="1" t="s">
        <v>3</v>
      </c>
      <c r="AG334">
        <f t="shared" si="32"/>
        <v>0</v>
      </c>
    </row>
    <row r="335" spans="27:33" hidden="1" x14ac:dyDescent="0.25">
      <c r="AA335" t="s">
        <v>79</v>
      </c>
      <c r="AB335" s="1" t="s">
        <v>1</v>
      </c>
      <c r="AC335" s="1" t="s">
        <v>13</v>
      </c>
      <c r="AD335" s="1" t="s">
        <v>10</v>
      </c>
      <c r="AE335" s="1" t="s">
        <v>2</v>
      </c>
      <c r="AF335" s="1" t="s">
        <v>1917</v>
      </c>
      <c r="AG335">
        <f t="shared" si="32"/>
        <v>0</v>
      </c>
    </row>
    <row r="336" spans="27:33" hidden="1" x14ac:dyDescent="0.25">
      <c r="AA336" t="s">
        <v>1601</v>
      </c>
      <c r="AB336" s="1" t="s">
        <v>2</v>
      </c>
      <c r="AC336" s="1" t="s">
        <v>10</v>
      </c>
      <c r="AD336" s="1" t="s">
        <v>2</v>
      </c>
      <c r="AE336" s="1" t="s">
        <v>11</v>
      </c>
      <c r="AF336" s="1" t="s">
        <v>5</v>
      </c>
      <c r="AG336">
        <f t="shared" si="32"/>
        <v>0</v>
      </c>
    </row>
    <row r="337" spans="27:33" hidden="1" x14ac:dyDescent="0.25">
      <c r="AA337" t="s">
        <v>560</v>
      </c>
      <c r="AB337" s="1" t="s">
        <v>1915</v>
      </c>
      <c r="AC337" s="1" t="s">
        <v>8</v>
      </c>
      <c r="AD337" s="1" t="s">
        <v>0</v>
      </c>
      <c r="AE337" s="1" t="s">
        <v>1</v>
      </c>
      <c r="AF337" s="1" t="s">
        <v>7</v>
      </c>
      <c r="AG337">
        <f t="shared" si="32"/>
        <v>0</v>
      </c>
    </row>
    <row r="338" spans="27:33" hidden="1" x14ac:dyDescent="0.25">
      <c r="AA338" t="s">
        <v>1871</v>
      </c>
      <c r="AB338" s="1" t="s">
        <v>1919</v>
      </c>
      <c r="AC338" s="1" t="s">
        <v>5</v>
      </c>
      <c r="AD338" s="1" t="s">
        <v>7</v>
      </c>
      <c r="AE338" s="1" t="s">
        <v>1</v>
      </c>
      <c r="AF338" s="1" t="s">
        <v>3</v>
      </c>
      <c r="AG338">
        <f t="shared" si="32"/>
        <v>0</v>
      </c>
    </row>
    <row r="339" spans="27:33" hidden="1" x14ac:dyDescent="0.25">
      <c r="AA339" t="s">
        <v>246</v>
      </c>
      <c r="AB339" s="1" t="s">
        <v>1914</v>
      </c>
      <c r="AC339" s="1" t="s">
        <v>3</v>
      </c>
      <c r="AD339" s="1" t="s">
        <v>1</v>
      </c>
      <c r="AE339" s="1" t="s">
        <v>12</v>
      </c>
      <c r="AF339" s="1" t="s">
        <v>5</v>
      </c>
      <c r="AG339">
        <f t="shared" si="32"/>
        <v>0</v>
      </c>
    </row>
    <row r="340" spans="27:33" hidden="1" x14ac:dyDescent="0.25">
      <c r="AA340" t="s">
        <v>848</v>
      </c>
      <c r="AB340" s="1" t="s">
        <v>1917</v>
      </c>
      <c r="AC340" s="1" t="s">
        <v>8</v>
      </c>
      <c r="AD340" s="1" t="s">
        <v>11</v>
      </c>
      <c r="AE340" s="1" t="s">
        <v>1919</v>
      </c>
      <c r="AF340" s="1" t="s">
        <v>5</v>
      </c>
      <c r="AG340">
        <f t="shared" si="32"/>
        <v>0</v>
      </c>
    </row>
    <row r="341" spans="27:33" hidden="1" x14ac:dyDescent="0.25">
      <c r="AA341" t="s">
        <v>336</v>
      </c>
      <c r="AB341" s="1" t="s">
        <v>0</v>
      </c>
      <c r="AC341" s="1" t="s">
        <v>1</v>
      </c>
      <c r="AD341" s="1" t="s">
        <v>2</v>
      </c>
      <c r="AE341" s="1" t="s">
        <v>1</v>
      </c>
      <c r="AF341" s="1" t="s">
        <v>3</v>
      </c>
      <c r="AG341">
        <f t="shared" si="32"/>
        <v>0</v>
      </c>
    </row>
    <row r="342" spans="27:33" hidden="1" x14ac:dyDescent="0.25">
      <c r="AA342" t="s">
        <v>1044</v>
      </c>
      <c r="AB342" s="1" t="s">
        <v>13</v>
      </c>
      <c r="AC342" s="1" t="s">
        <v>1</v>
      </c>
      <c r="AD342" s="1" t="s">
        <v>12</v>
      </c>
      <c r="AE342" s="1" t="s">
        <v>1</v>
      </c>
      <c r="AF342" s="1" t="s">
        <v>3</v>
      </c>
      <c r="AG342">
        <f t="shared" si="32"/>
        <v>0</v>
      </c>
    </row>
    <row r="343" spans="27:33" hidden="1" x14ac:dyDescent="0.25">
      <c r="AA343" t="s">
        <v>1050</v>
      </c>
      <c r="AB343" s="1" t="s">
        <v>13</v>
      </c>
      <c r="AC343" s="1" t="s">
        <v>11</v>
      </c>
      <c r="AD343" s="1" t="s">
        <v>1915</v>
      </c>
      <c r="AE343" s="1" t="s">
        <v>10</v>
      </c>
      <c r="AF343" s="1" t="s">
        <v>5</v>
      </c>
      <c r="AG343">
        <f t="shared" si="32"/>
        <v>0</v>
      </c>
    </row>
    <row r="344" spans="27:33" hidden="1" x14ac:dyDescent="0.25">
      <c r="AA344" t="s">
        <v>1404</v>
      </c>
      <c r="AB344" s="1" t="s">
        <v>9</v>
      </c>
      <c r="AC344" s="1" t="s">
        <v>8</v>
      </c>
      <c r="AD344" s="1" t="s">
        <v>7</v>
      </c>
      <c r="AE344" s="1" t="s">
        <v>1921</v>
      </c>
      <c r="AF344" s="1" t="s">
        <v>1</v>
      </c>
      <c r="AG344">
        <f t="shared" si="32"/>
        <v>0</v>
      </c>
    </row>
    <row r="345" spans="27:33" hidden="1" x14ac:dyDescent="0.25">
      <c r="AA345" t="s">
        <v>866</v>
      </c>
      <c r="AB345" s="1" t="s">
        <v>10</v>
      </c>
      <c r="AC345" s="1" t="s">
        <v>13</v>
      </c>
      <c r="AD345" s="1" t="s">
        <v>9</v>
      </c>
      <c r="AE345" s="1" t="s">
        <v>1</v>
      </c>
      <c r="AF345" s="1" t="s">
        <v>3</v>
      </c>
      <c r="AG345">
        <f t="shared" si="32"/>
        <v>0</v>
      </c>
    </row>
    <row r="346" spans="27:33" hidden="1" x14ac:dyDescent="0.25">
      <c r="AA346" t="s">
        <v>1351</v>
      </c>
      <c r="AB346" s="1" t="s">
        <v>9</v>
      </c>
      <c r="AC346" s="1" t="s">
        <v>7</v>
      </c>
      <c r="AD346" s="1" t="s">
        <v>1</v>
      </c>
      <c r="AE346" s="1" t="s">
        <v>1918</v>
      </c>
      <c r="AF346" s="1" t="s">
        <v>1</v>
      </c>
      <c r="AG346">
        <f t="shared" si="32"/>
        <v>0</v>
      </c>
    </row>
    <row r="347" spans="27:33" hidden="1" x14ac:dyDescent="0.25">
      <c r="AA347" t="s">
        <v>2296</v>
      </c>
      <c r="AB347" s="1" t="s">
        <v>4</v>
      </c>
      <c r="AC347" s="1" t="s">
        <v>1</v>
      </c>
      <c r="AD347" s="1" t="s">
        <v>1917</v>
      </c>
      <c r="AE347" s="1" t="s">
        <v>8</v>
      </c>
      <c r="AF347" s="1" t="s">
        <v>3</v>
      </c>
      <c r="AG347">
        <f t="shared" si="32"/>
        <v>0</v>
      </c>
    </row>
    <row r="348" spans="27:33" hidden="1" x14ac:dyDescent="0.25">
      <c r="AA348" t="s">
        <v>1863</v>
      </c>
      <c r="AB348" s="1" t="s">
        <v>1919</v>
      </c>
      <c r="AC348" s="1" t="s">
        <v>10</v>
      </c>
      <c r="AD348" s="1" t="s">
        <v>8</v>
      </c>
      <c r="AE348" s="1" t="s">
        <v>1915</v>
      </c>
      <c r="AF348" s="1" t="s">
        <v>5</v>
      </c>
      <c r="AG348">
        <f t="shared" si="32"/>
        <v>0</v>
      </c>
    </row>
    <row r="349" spans="27:33" hidden="1" x14ac:dyDescent="0.25">
      <c r="AA349" t="s">
        <v>634</v>
      </c>
      <c r="AB349" s="1" t="s">
        <v>1920</v>
      </c>
      <c r="AC349" s="1" t="s">
        <v>11</v>
      </c>
      <c r="AD349" s="1" t="s">
        <v>3</v>
      </c>
      <c r="AE349" s="1" t="s">
        <v>3</v>
      </c>
      <c r="AF349" s="1" t="s">
        <v>1918</v>
      </c>
      <c r="AG349">
        <f t="shared" si="32"/>
        <v>0</v>
      </c>
    </row>
    <row r="350" spans="27:33" hidden="1" x14ac:dyDescent="0.25">
      <c r="AA350" t="s">
        <v>2231</v>
      </c>
      <c r="AB350" s="1" t="s">
        <v>1</v>
      </c>
      <c r="AC350" s="1" t="s">
        <v>1915</v>
      </c>
      <c r="AD350" s="1" t="s">
        <v>10</v>
      </c>
      <c r="AE350" s="1" t="s">
        <v>5</v>
      </c>
      <c r="AF350" s="1" t="s">
        <v>2</v>
      </c>
      <c r="AG350">
        <f t="shared" si="32"/>
        <v>0</v>
      </c>
    </row>
    <row r="351" spans="27:33" hidden="1" x14ac:dyDescent="0.25">
      <c r="AA351" t="s">
        <v>1470</v>
      </c>
      <c r="AB351" s="1" t="s">
        <v>3</v>
      </c>
      <c r="AC351" s="1" t="s">
        <v>11</v>
      </c>
      <c r="AD351" s="1" t="s">
        <v>5</v>
      </c>
      <c r="AE351" s="1" t="s">
        <v>15</v>
      </c>
      <c r="AF351" s="1" t="s">
        <v>5</v>
      </c>
      <c r="AG351">
        <f t="shared" si="32"/>
        <v>0</v>
      </c>
    </row>
    <row r="352" spans="27:33" hidden="1" x14ac:dyDescent="0.25">
      <c r="AA352" t="s">
        <v>306</v>
      </c>
      <c r="AB352" s="1" t="s">
        <v>0</v>
      </c>
      <c r="AC352" s="1" t="s">
        <v>1</v>
      </c>
      <c r="AD352" s="1" t="s">
        <v>7</v>
      </c>
      <c r="AE352" s="1" t="s">
        <v>12</v>
      </c>
      <c r="AF352" s="1" t="s">
        <v>1</v>
      </c>
      <c r="AG352">
        <f t="shared" si="32"/>
        <v>0</v>
      </c>
    </row>
    <row r="353" spans="27:33" hidden="1" x14ac:dyDescent="0.25">
      <c r="AA353" t="s">
        <v>498</v>
      </c>
      <c r="AB353" s="1" t="s">
        <v>0</v>
      </c>
      <c r="AC353" s="1" t="s">
        <v>8</v>
      </c>
      <c r="AD353" s="1" t="s">
        <v>3</v>
      </c>
      <c r="AE353" s="1" t="s">
        <v>3</v>
      </c>
      <c r="AF353" s="1" t="s">
        <v>10</v>
      </c>
      <c r="AG353">
        <f t="shared" si="32"/>
        <v>0</v>
      </c>
    </row>
    <row r="354" spans="27:33" hidden="1" x14ac:dyDescent="0.25">
      <c r="AA354" t="s">
        <v>103</v>
      </c>
      <c r="AB354" s="1" t="s">
        <v>1</v>
      </c>
      <c r="AC354" s="1" t="s">
        <v>9</v>
      </c>
      <c r="AD354" s="1" t="s">
        <v>5</v>
      </c>
      <c r="AE354" s="1" t="s">
        <v>1915</v>
      </c>
      <c r="AF354" s="1" t="s">
        <v>5</v>
      </c>
      <c r="AG354">
        <f t="shared" si="32"/>
        <v>0</v>
      </c>
    </row>
    <row r="355" spans="27:33" hidden="1" x14ac:dyDescent="0.25">
      <c r="AA355" t="s">
        <v>463</v>
      </c>
      <c r="AB355" s="1" t="s">
        <v>0</v>
      </c>
      <c r="AC355" s="1" t="s">
        <v>5</v>
      </c>
      <c r="AD355" s="1" t="s">
        <v>2</v>
      </c>
      <c r="AE355" s="1" t="s">
        <v>4</v>
      </c>
      <c r="AF355" s="1" t="s">
        <v>5</v>
      </c>
      <c r="AG355">
        <f t="shared" si="32"/>
        <v>0</v>
      </c>
    </row>
    <row r="356" spans="27:33" hidden="1" x14ac:dyDescent="0.25">
      <c r="AA356" t="s">
        <v>1599</v>
      </c>
      <c r="AB356" s="1" t="s">
        <v>2</v>
      </c>
      <c r="AC356" s="1" t="s">
        <v>10</v>
      </c>
      <c r="AD356" s="1" t="s">
        <v>3</v>
      </c>
      <c r="AE356" s="1" t="s">
        <v>1921</v>
      </c>
      <c r="AF356" s="1" t="s">
        <v>1</v>
      </c>
      <c r="AG356">
        <f t="shared" si="32"/>
        <v>0</v>
      </c>
    </row>
    <row r="357" spans="27:33" hidden="1" x14ac:dyDescent="0.25">
      <c r="AA357" t="s">
        <v>2214</v>
      </c>
      <c r="AB357" s="1" t="s">
        <v>5</v>
      </c>
      <c r="AC357" s="1" t="s">
        <v>1922</v>
      </c>
      <c r="AD357" s="1" t="s">
        <v>10</v>
      </c>
      <c r="AE357" s="1" t="s">
        <v>1915</v>
      </c>
      <c r="AF357" s="1" t="s">
        <v>5</v>
      </c>
      <c r="AG357">
        <f t="shared" si="32"/>
        <v>0</v>
      </c>
    </row>
    <row r="358" spans="27:33" hidden="1" x14ac:dyDescent="0.25">
      <c r="AA358" t="s">
        <v>561</v>
      </c>
      <c r="AB358" s="1" t="s">
        <v>1915</v>
      </c>
      <c r="AC358" s="1" t="s">
        <v>8</v>
      </c>
      <c r="AD358" s="1" t="s">
        <v>0</v>
      </c>
      <c r="AE358" s="1" t="s">
        <v>1917</v>
      </c>
      <c r="AF358" s="1" t="s">
        <v>1</v>
      </c>
      <c r="AG358">
        <f t="shared" si="32"/>
        <v>0</v>
      </c>
    </row>
    <row r="359" spans="27:33" hidden="1" x14ac:dyDescent="0.25">
      <c r="AA359" t="s">
        <v>1881</v>
      </c>
      <c r="AB359" s="1" t="s">
        <v>1918</v>
      </c>
      <c r="AC359" s="1" t="s">
        <v>1</v>
      </c>
      <c r="AD359" s="1" t="s">
        <v>1923</v>
      </c>
      <c r="AE359" s="1" t="s">
        <v>8</v>
      </c>
      <c r="AF359" s="1" t="s">
        <v>10</v>
      </c>
      <c r="AG359">
        <f t="shared" si="32"/>
        <v>0</v>
      </c>
    </row>
    <row r="360" spans="27:33" hidden="1" x14ac:dyDescent="0.25">
      <c r="AA360" t="s">
        <v>780</v>
      </c>
      <c r="AB360" s="1" t="s">
        <v>1921</v>
      </c>
      <c r="AC360" s="1" t="s">
        <v>8</v>
      </c>
      <c r="AD360" s="1" t="s">
        <v>1</v>
      </c>
      <c r="AE360" s="1" t="s">
        <v>15</v>
      </c>
      <c r="AF360" s="1" t="s">
        <v>11</v>
      </c>
      <c r="AG360">
        <f t="shared" si="32"/>
        <v>0</v>
      </c>
    </row>
    <row r="361" spans="27:33" hidden="1" x14ac:dyDescent="0.25">
      <c r="AA361" t="s">
        <v>1103</v>
      </c>
      <c r="AB361" s="1" t="s">
        <v>13</v>
      </c>
      <c r="AC361" s="1" t="s">
        <v>5</v>
      </c>
      <c r="AD361" s="1" t="s">
        <v>1916</v>
      </c>
      <c r="AE361" s="1" t="s">
        <v>1</v>
      </c>
      <c r="AF361" s="1" t="s">
        <v>2</v>
      </c>
      <c r="AG361">
        <f t="shared" si="32"/>
        <v>0</v>
      </c>
    </row>
    <row r="362" spans="27:33" hidden="1" x14ac:dyDescent="0.25">
      <c r="AA362" t="s">
        <v>343</v>
      </c>
      <c r="AB362" s="1" t="s">
        <v>0</v>
      </c>
      <c r="AC362" s="1" t="s">
        <v>1</v>
      </c>
      <c r="AD362" s="1" t="s">
        <v>4</v>
      </c>
      <c r="AE362" s="1" t="s">
        <v>11</v>
      </c>
      <c r="AF362" s="1" t="s">
        <v>1918</v>
      </c>
      <c r="AG362">
        <f t="shared" si="32"/>
        <v>0</v>
      </c>
    </row>
    <row r="363" spans="27:33" hidden="1" x14ac:dyDescent="0.25">
      <c r="AA363" t="s">
        <v>1994</v>
      </c>
      <c r="AB363" s="1" t="s">
        <v>1</v>
      </c>
      <c r="AC363" s="1" t="s">
        <v>6</v>
      </c>
      <c r="AD363" s="1" t="s">
        <v>10</v>
      </c>
      <c r="AE363" s="1" t="s">
        <v>13</v>
      </c>
      <c r="AF363" s="1" t="s">
        <v>1</v>
      </c>
      <c r="AG363">
        <f t="shared" si="32"/>
        <v>0</v>
      </c>
    </row>
    <row r="364" spans="27:33" hidden="1" x14ac:dyDescent="0.25">
      <c r="AA364" t="s">
        <v>61</v>
      </c>
      <c r="AB364" s="1" t="s">
        <v>1</v>
      </c>
      <c r="AC364" s="1" t="s">
        <v>7</v>
      </c>
      <c r="AD364" s="1" t="s">
        <v>10</v>
      </c>
      <c r="AE364" s="1" t="s">
        <v>1</v>
      </c>
      <c r="AF364" s="1" t="s">
        <v>3</v>
      </c>
      <c r="AG364">
        <f t="shared" si="32"/>
        <v>0</v>
      </c>
    </row>
    <row r="365" spans="27:33" hidden="1" x14ac:dyDescent="0.25">
      <c r="AA365" t="s">
        <v>1839</v>
      </c>
      <c r="AB365" s="1" t="s">
        <v>1919</v>
      </c>
      <c r="AC365" s="1" t="s">
        <v>11</v>
      </c>
      <c r="AD365" s="1" t="s">
        <v>3</v>
      </c>
      <c r="AE365" s="1" t="s">
        <v>2</v>
      </c>
      <c r="AF365" s="1" t="s">
        <v>5</v>
      </c>
      <c r="AG365">
        <f t="shared" si="32"/>
        <v>0</v>
      </c>
    </row>
    <row r="366" spans="27:33" hidden="1" x14ac:dyDescent="0.25">
      <c r="AA366" t="s">
        <v>556</v>
      </c>
      <c r="AB366" s="1" t="s">
        <v>1915</v>
      </c>
      <c r="AC366" s="1" t="s">
        <v>3</v>
      </c>
      <c r="AD366" s="1" t="s">
        <v>1</v>
      </c>
      <c r="AE366" s="1" t="s">
        <v>1921</v>
      </c>
      <c r="AF366" s="1" t="s">
        <v>5</v>
      </c>
      <c r="AG366">
        <f t="shared" si="32"/>
        <v>0</v>
      </c>
    </row>
    <row r="367" spans="27:33" hidden="1" x14ac:dyDescent="0.25">
      <c r="AA367" t="s">
        <v>543</v>
      </c>
      <c r="AB367" s="1" t="s">
        <v>1915</v>
      </c>
      <c r="AC367" s="1" t="s">
        <v>5</v>
      </c>
      <c r="AD367" s="1" t="s">
        <v>1921</v>
      </c>
      <c r="AE367" s="1" t="s">
        <v>13</v>
      </c>
      <c r="AF367" s="1" t="s">
        <v>1</v>
      </c>
      <c r="AG367">
        <f t="shared" si="32"/>
        <v>0</v>
      </c>
    </row>
    <row r="368" spans="27:33" hidden="1" x14ac:dyDescent="0.25">
      <c r="AA368" t="s">
        <v>798</v>
      </c>
      <c r="AB368" s="1" t="s">
        <v>1917</v>
      </c>
      <c r="AC368" s="1" t="s">
        <v>1</v>
      </c>
      <c r="AD368" s="1" t="s">
        <v>0</v>
      </c>
      <c r="AE368" s="1" t="s">
        <v>11</v>
      </c>
      <c r="AF368" s="1" t="s">
        <v>3</v>
      </c>
      <c r="AG368">
        <f t="shared" si="32"/>
        <v>0</v>
      </c>
    </row>
    <row r="369" spans="27:33" hidden="1" x14ac:dyDescent="0.25">
      <c r="AA369" t="s">
        <v>1406</v>
      </c>
      <c r="AB369" s="1" t="s">
        <v>9</v>
      </c>
      <c r="AC369" s="1" t="s">
        <v>8</v>
      </c>
      <c r="AD369" s="1" t="s">
        <v>7</v>
      </c>
      <c r="AE369" s="1" t="s">
        <v>7</v>
      </c>
      <c r="AF369" s="1" t="s">
        <v>1</v>
      </c>
      <c r="AG369">
        <f t="shared" si="32"/>
        <v>0</v>
      </c>
    </row>
    <row r="370" spans="27:33" hidden="1" x14ac:dyDescent="0.25">
      <c r="AA370" t="s">
        <v>1067</v>
      </c>
      <c r="AB370" s="1" t="s">
        <v>13</v>
      </c>
      <c r="AC370" s="1" t="s">
        <v>11</v>
      </c>
      <c r="AD370" s="1" t="s">
        <v>4</v>
      </c>
      <c r="AE370" s="1" t="s">
        <v>1</v>
      </c>
      <c r="AF370" s="1" t="s">
        <v>7</v>
      </c>
      <c r="AG370">
        <f t="shared" si="32"/>
        <v>0</v>
      </c>
    </row>
    <row r="371" spans="27:33" hidden="1" x14ac:dyDescent="0.25">
      <c r="AA371" t="s">
        <v>683</v>
      </c>
      <c r="AB371" s="1" t="s">
        <v>1920</v>
      </c>
      <c r="AC371" s="1" t="s">
        <v>3</v>
      </c>
      <c r="AD371" s="1" t="s">
        <v>1</v>
      </c>
      <c r="AE371" s="1" t="s">
        <v>2</v>
      </c>
      <c r="AF371" s="1" t="s">
        <v>11</v>
      </c>
      <c r="AG371">
        <f t="shared" si="32"/>
        <v>0</v>
      </c>
    </row>
    <row r="372" spans="27:33" hidden="1" x14ac:dyDescent="0.25">
      <c r="AA372" t="s">
        <v>1172</v>
      </c>
      <c r="AB372" s="1" t="s">
        <v>6</v>
      </c>
      <c r="AC372" s="1" t="s">
        <v>10</v>
      </c>
      <c r="AD372" s="1" t="s">
        <v>1919</v>
      </c>
      <c r="AE372" s="1" t="s">
        <v>11</v>
      </c>
      <c r="AF372" s="1" t="s">
        <v>7</v>
      </c>
      <c r="AG372">
        <f t="shared" si="32"/>
        <v>0</v>
      </c>
    </row>
    <row r="373" spans="27:33" hidden="1" x14ac:dyDescent="0.25">
      <c r="AA373" t="s">
        <v>658</v>
      </c>
      <c r="AB373" s="1" t="s">
        <v>1920</v>
      </c>
      <c r="AC373" s="1" t="s">
        <v>7</v>
      </c>
      <c r="AD373" s="1" t="s">
        <v>1</v>
      </c>
      <c r="AE373" s="1" t="s">
        <v>2</v>
      </c>
      <c r="AF373" s="1" t="s">
        <v>1917</v>
      </c>
      <c r="AG373">
        <f t="shared" si="32"/>
        <v>0</v>
      </c>
    </row>
    <row r="374" spans="27:33" hidden="1" x14ac:dyDescent="0.25">
      <c r="AA374" t="s">
        <v>756</v>
      </c>
      <c r="AB374" s="1" t="s">
        <v>1921</v>
      </c>
      <c r="AC374" s="1" t="s">
        <v>3</v>
      </c>
      <c r="AD374" s="1" t="s">
        <v>1</v>
      </c>
      <c r="AE374" s="1" t="s">
        <v>13</v>
      </c>
      <c r="AF374" s="1" t="s">
        <v>5</v>
      </c>
      <c r="AG374">
        <f t="shared" si="32"/>
        <v>0</v>
      </c>
    </row>
    <row r="375" spans="27:33" hidden="1" x14ac:dyDescent="0.25">
      <c r="AA375" t="s">
        <v>911</v>
      </c>
      <c r="AB375" s="1" t="s">
        <v>14</v>
      </c>
      <c r="AC375" s="1" t="s">
        <v>5</v>
      </c>
      <c r="AD375" s="1" t="s">
        <v>1</v>
      </c>
      <c r="AE375" s="1" t="s">
        <v>7</v>
      </c>
      <c r="AF375" s="1" t="s">
        <v>1</v>
      </c>
      <c r="AG375">
        <f t="shared" si="32"/>
        <v>0</v>
      </c>
    </row>
    <row r="376" spans="27:33" hidden="1" x14ac:dyDescent="0.25">
      <c r="AA376" t="s">
        <v>361</v>
      </c>
      <c r="AB376" s="1" t="s">
        <v>0</v>
      </c>
      <c r="AC376" s="1" t="s">
        <v>11</v>
      </c>
      <c r="AD376" s="1" t="s">
        <v>1916</v>
      </c>
      <c r="AE376" s="1" t="s">
        <v>10</v>
      </c>
      <c r="AF376" s="1" t="s">
        <v>3</v>
      </c>
      <c r="AG376">
        <f t="shared" si="32"/>
        <v>0</v>
      </c>
    </row>
    <row r="377" spans="27:33" hidden="1" x14ac:dyDescent="0.25">
      <c r="AA377" t="s">
        <v>1340</v>
      </c>
      <c r="AB377" s="1" t="s">
        <v>9</v>
      </c>
      <c r="AC377" s="1" t="s">
        <v>10</v>
      </c>
      <c r="AD377" s="1" t="s">
        <v>2</v>
      </c>
      <c r="AE377" s="1" t="s">
        <v>4</v>
      </c>
      <c r="AF377" s="1" t="s">
        <v>1</v>
      </c>
      <c r="AG377">
        <f t="shared" si="32"/>
        <v>0</v>
      </c>
    </row>
    <row r="378" spans="27:33" hidden="1" x14ac:dyDescent="0.25">
      <c r="AA378" t="s">
        <v>1993</v>
      </c>
      <c r="AB378" s="1" t="s">
        <v>1</v>
      </c>
      <c r="AC378" s="1" t="s">
        <v>3</v>
      </c>
      <c r="AD378" s="1" t="s">
        <v>1914</v>
      </c>
      <c r="AE378" s="1" t="s">
        <v>5</v>
      </c>
      <c r="AF378" s="1" t="s">
        <v>7</v>
      </c>
      <c r="AG378">
        <f t="shared" si="32"/>
        <v>0</v>
      </c>
    </row>
    <row r="379" spans="27:33" hidden="1" x14ac:dyDescent="0.25">
      <c r="AA379" t="s">
        <v>1640</v>
      </c>
      <c r="AB379" s="1" t="s">
        <v>2</v>
      </c>
      <c r="AC379" s="1" t="s">
        <v>8</v>
      </c>
      <c r="AD379" s="1" t="s">
        <v>3</v>
      </c>
      <c r="AE379" s="1" t="s">
        <v>0</v>
      </c>
      <c r="AF379" s="1" t="s">
        <v>5</v>
      </c>
      <c r="AG379">
        <f t="shared" si="32"/>
        <v>0</v>
      </c>
    </row>
    <row r="380" spans="27:33" hidden="1" x14ac:dyDescent="0.25">
      <c r="AA380" t="s">
        <v>923</v>
      </c>
      <c r="AB380" s="1" t="s">
        <v>7</v>
      </c>
      <c r="AC380" s="1" t="s">
        <v>1</v>
      </c>
      <c r="AD380" s="1" t="s">
        <v>13</v>
      </c>
      <c r="AE380" s="1" t="s">
        <v>11</v>
      </c>
      <c r="AF380" s="1" t="s">
        <v>3</v>
      </c>
      <c r="AG380">
        <f t="shared" si="32"/>
        <v>0</v>
      </c>
    </row>
    <row r="381" spans="27:33" hidden="1" x14ac:dyDescent="0.25">
      <c r="AA381" t="s">
        <v>278</v>
      </c>
      <c r="AB381" s="1" t="s">
        <v>1914</v>
      </c>
      <c r="AC381" s="1" t="s">
        <v>8</v>
      </c>
      <c r="AD381" s="1" t="s">
        <v>3</v>
      </c>
      <c r="AE381" s="1" t="s">
        <v>14</v>
      </c>
      <c r="AF381" s="1" t="s">
        <v>1</v>
      </c>
      <c r="AG381">
        <f t="shared" si="32"/>
        <v>0</v>
      </c>
    </row>
    <row r="382" spans="27:33" hidden="1" x14ac:dyDescent="0.25">
      <c r="AA382" t="s">
        <v>1831</v>
      </c>
      <c r="AB382" s="1" t="s">
        <v>1919</v>
      </c>
      <c r="AC382" s="1" t="s">
        <v>11</v>
      </c>
      <c r="AD382" s="1" t="s">
        <v>6</v>
      </c>
      <c r="AE382" s="1" t="s">
        <v>10</v>
      </c>
      <c r="AF382" s="1" t="s">
        <v>3</v>
      </c>
      <c r="AG382">
        <f t="shared" si="32"/>
        <v>0</v>
      </c>
    </row>
    <row r="383" spans="27:33" hidden="1" x14ac:dyDescent="0.25">
      <c r="AA383" t="s">
        <v>1385</v>
      </c>
      <c r="AB383" s="1" t="s">
        <v>9</v>
      </c>
      <c r="AC383" s="1" t="s">
        <v>5</v>
      </c>
      <c r="AD383" s="1" t="s">
        <v>2</v>
      </c>
      <c r="AE383" s="1" t="s">
        <v>4</v>
      </c>
      <c r="AF383" s="1" t="s">
        <v>11</v>
      </c>
      <c r="AG383">
        <f t="shared" si="32"/>
        <v>0</v>
      </c>
    </row>
    <row r="384" spans="27:33" hidden="1" x14ac:dyDescent="0.25">
      <c r="AA384" t="s">
        <v>825</v>
      </c>
      <c r="AB384" s="1" t="s">
        <v>1917</v>
      </c>
      <c r="AC384" s="1" t="s">
        <v>10</v>
      </c>
      <c r="AD384" s="1" t="s">
        <v>6</v>
      </c>
      <c r="AE384" s="1" t="s">
        <v>0</v>
      </c>
      <c r="AF384" s="1" t="s">
        <v>5</v>
      </c>
      <c r="AG384">
        <f t="shared" si="32"/>
        <v>0</v>
      </c>
    </row>
    <row r="385" spans="27:33" hidden="1" x14ac:dyDescent="0.25">
      <c r="AA385" t="s">
        <v>584</v>
      </c>
      <c r="AB385" s="1" t="s">
        <v>11</v>
      </c>
      <c r="AC385" s="1" t="s">
        <v>6</v>
      </c>
      <c r="AD385" s="1" t="s">
        <v>11</v>
      </c>
      <c r="AE385" s="1" t="s">
        <v>3</v>
      </c>
      <c r="AF385" s="1" t="s">
        <v>5</v>
      </c>
      <c r="AG385">
        <f t="shared" si="32"/>
        <v>0</v>
      </c>
    </row>
    <row r="386" spans="27:33" hidden="1" x14ac:dyDescent="0.25">
      <c r="AA386" t="s">
        <v>1490</v>
      </c>
      <c r="AB386" s="1" t="s">
        <v>3</v>
      </c>
      <c r="AC386" s="1" t="s">
        <v>5</v>
      </c>
      <c r="AD386" s="1" t="s">
        <v>1914</v>
      </c>
      <c r="AE386" s="1" t="s">
        <v>7</v>
      </c>
      <c r="AF386" s="1" t="s">
        <v>11</v>
      </c>
      <c r="AG386">
        <f t="shared" si="32"/>
        <v>0</v>
      </c>
    </row>
    <row r="387" spans="27:33" hidden="1" x14ac:dyDescent="0.25">
      <c r="AA387" t="s">
        <v>1467</v>
      </c>
      <c r="AB387" s="1" t="s">
        <v>3</v>
      </c>
      <c r="AC387" s="1" t="s">
        <v>11</v>
      </c>
      <c r="AD387" s="1" t="s">
        <v>6</v>
      </c>
      <c r="AE387" s="1" t="s">
        <v>1</v>
      </c>
      <c r="AF387" s="1" t="s">
        <v>7</v>
      </c>
      <c r="AG387">
        <f t="shared" ref="AG387:AG450" si="33">IF(AND(Z387&gt;0,Z387&lt;7),AG386+1,0)</f>
        <v>0</v>
      </c>
    </row>
    <row r="388" spans="27:33" hidden="1" x14ac:dyDescent="0.25">
      <c r="AA388" t="s">
        <v>2014</v>
      </c>
      <c r="AB388" s="1" t="s">
        <v>1</v>
      </c>
      <c r="AC388" s="1" t="s">
        <v>6</v>
      </c>
      <c r="AD388" s="1" t="s">
        <v>10</v>
      </c>
      <c r="AE388" s="1" t="s">
        <v>13</v>
      </c>
      <c r="AF388" s="1" t="s">
        <v>5</v>
      </c>
      <c r="AG388">
        <f t="shared" si="33"/>
        <v>0</v>
      </c>
    </row>
    <row r="389" spans="27:33" hidden="1" x14ac:dyDescent="0.25">
      <c r="AA389" t="s">
        <v>357</v>
      </c>
      <c r="AB389" s="1" t="s">
        <v>0</v>
      </c>
      <c r="AC389" s="1" t="s">
        <v>11</v>
      </c>
      <c r="AD389" s="1" t="s">
        <v>7</v>
      </c>
      <c r="AE389" s="1" t="s">
        <v>1915</v>
      </c>
      <c r="AF389" s="1" t="s">
        <v>1</v>
      </c>
      <c r="AG389">
        <f t="shared" si="33"/>
        <v>0</v>
      </c>
    </row>
    <row r="390" spans="27:33" hidden="1" x14ac:dyDescent="0.25">
      <c r="AA390" t="s">
        <v>1728</v>
      </c>
      <c r="AB390" s="1" t="s">
        <v>4</v>
      </c>
      <c r="AC390" s="1" t="s">
        <v>5</v>
      </c>
      <c r="AD390" s="1" t="s">
        <v>6</v>
      </c>
      <c r="AE390" s="1" t="s">
        <v>11</v>
      </c>
      <c r="AF390" s="1" t="s">
        <v>7</v>
      </c>
      <c r="AG390">
        <f t="shared" si="33"/>
        <v>0</v>
      </c>
    </row>
    <row r="391" spans="27:33" hidden="1" x14ac:dyDescent="0.25">
      <c r="AA391" t="s">
        <v>2221</v>
      </c>
      <c r="AB391" s="1" t="s">
        <v>1919</v>
      </c>
      <c r="AC391" s="1" t="s">
        <v>5</v>
      </c>
      <c r="AD391" s="1" t="s">
        <v>7</v>
      </c>
      <c r="AE391" s="1" t="s">
        <v>11</v>
      </c>
      <c r="AF391" s="1" t="s">
        <v>1918</v>
      </c>
      <c r="AG391">
        <f t="shared" si="33"/>
        <v>0</v>
      </c>
    </row>
    <row r="392" spans="27:33" hidden="1" x14ac:dyDescent="0.25">
      <c r="AA392" t="s">
        <v>2321</v>
      </c>
      <c r="AB392" s="1" t="s">
        <v>5</v>
      </c>
      <c r="AC392" s="1" t="s">
        <v>10</v>
      </c>
      <c r="AD392" s="1" t="s">
        <v>1915</v>
      </c>
      <c r="AE392" s="1" t="s">
        <v>1</v>
      </c>
      <c r="AF392" s="1" t="s">
        <v>2</v>
      </c>
      <c r="AG392">
        <f t="shared" si="33"/>
        <v>0</v>
      </c>
    </row>
    <row r="393" spans="27:33" hidden="1" x14ac:dyDescent="0.25">
      <c r="AA393" t="s">
        <v>1485</v>
      </c>
      <c r="AB393" s="1" t="s">
        <v>3</v>
      </c>
      <c r="AC393" s="1" t="s">
        <v>10</v>
      </c>
      <c r="AD393" s="1" t="s">
        <v>2</v>
      </c>
      <c r="AE393" s="1" t="s">
        <v>0</v>
      </c>
      <c r="AF393" s="1" t="s">
        <v>5</v>
      </c>
      <c r="AG393">
        <f t="shared" si="33"/>
        <v>0</v>
      </c>
    </row>
    <row r="394" spans="27:33" hidden="1" x14ac:dyDescent="0.25">
      <c r="AA394" t="s">
        <v>1811</v>
      </c>
      <c r="AB394" s="1" t="s">
        <v>1919</v>
      </c>
      <c r="AC394" s="1" t="s">
        <v>1</v>
      </c>
      <c r="AD394" s="1" t="s">
        <v>7</v>
      </c>
      <c r="AE394" s="1" t="s">
        <v>7</v>
      </c>
      <c r="AF394" s="1" t="s">
        <v>11</v>
      </c>
      <c r="AG394">
        <f t="shared" si="33"/>
        <v>0</v>
      </c>
    </row>
    <row r="395" spans="27:33" hidden="1" x14ac:dyDescent="0.25">
      <c r="AA395" t="s">
        <v>407</v>
      </c>
      <c r="AB395" s="1" t="s">
        <v>0</v>
      </c>
      <c r="AC395" s="1" t="s">
        <v>10</v>
      </c>
      <c r="AD395" s="1" t="s">
        <v>11</v>
      </c>
      <c r="AE395" s="1" t="s">
        <v>6</v>
      </c>
      <c r="AF395" s="1" t="s">
        <v>5</v>
      </c>
      <c r="AG395">
        <f t="shared" si="33"/>
        <v>0</v>
      </c>
    </row>
    <row r="396" spans="27:33" hidden="1" x14ac:dyDescent="0.25">
      <c r="AA396" t="s">
        <v>1160</v>
      </c>
      <c r="AB396" s="1" t="s">
        <v>6</v>
      </c>
      <c r="AC396" s="1" t="s">
        <v>11</v>
      </c>
      <c r="AD396" s="1" t="s">
        <v>1919</v>
      </c>
      <c r="AE396" s="1" t="s">
        <v>1</v>
      </c>
      <c r="AF396" s="1" t="s">
        <v>3</v>
      </c>
      <c r="AG396">
        <f t="shared" si="33"/>
        <v>0</v>
      </c>
    </row>
    <row r="397" spans="27:33" hidden="1" x14ac:dyDescent="0.25">
      <c r="AA397" t="s">
        <v>809</v>
      </c>
      <c r="AB397" s="1" t="s">
        <v>1917</v>
      </c>
      <c r="AC397" s="1" t="s">
        <v>1</v>
      </c>
      <c r="AD397" s="1" t="s">
        <v>2</v>
      </c>
      <c r="AE397" s="1" t="s">
        <v>4</v>
      </c>
      <c r="AF397" s="1" t="s">
        <v>1</v>
      </c>
      <c r="AG397">
        <f t="shared" si="33"/>
        <v>0</v>
      </c>
    </row>
    <row r="398" spans="27:33" hidden="1" x14ac:dyDescent="0.25">
      <c r="AA398" t="s">
        <v>1260</v>
      </c>
      <c r="AB398" s="1" t="s">
        <v>9</v>
      </c>
      <c r="AC398" s="1" t="s">
        <v>1</v>
      </c>
      <c r="AD398" s="1" t="s">
        <v>6</v>
      </c>
      <c r="AE398" s="1" t="s">
        <v>1921</v>
      </c>
      <c r="AF398" s="1" t="s">
        <v>1</v>
      </c>
      <c r="AG398">
        <f t="shared" si="33"/>
        <v>0</v>
      </c>
    </row>
    <row r="399" spans="27:33" hidden="1" x14ac:dyDescent="0.25">
      <c r="AA399" t="s">
        <v>1179</v>
      </c>
      <c r="AB399" s="1" t="s">
        <v>6</v>
      </c>
      <c r="AC399" s="1" t="s">
        <v>5</v>
      </c>
      <c r="AD399" s="1" t="s">
        <v>3</v>
      </c>
      <c r="AE399" s="1" t="s">
        <v>1</v>
      </c>
      <c r="AF399" s="1" t="s">
        <v>1918</v>
      </c>
      <c r="AG399">
        <f t="shared" si="33"/>
        <v>0</v>
      </c>
    </row>
    <row r="400" spans="27:33" hidden="1" x14ac:dyDescent="0.25">
      <c r="AA400" t="s">
        <v>244</v>
      </c>
      <c r="AB400" s="1" t="s">
        <v>1914</v>
      </c>
      <c r="AC400" s="1" t="s">
        <v>3</v>
      </c>
      <c r="AD400" s="1" t="s">
        <v>1</v>
      </c>
      <c r="AE400" s="1" t="s">
        <v>1919</v>
      </c>
      <c r="AF400" s="1" t="s">
        <v>5</v>
      </c>
      <c r="AG400">
        <f t="shared" si="33"/>
        <v>0</v>
      </c>
    </row>
    <row r="401" spans="27:33" hidden="1" x14ac:dyDescent="0.25">
      <c r="AA401" t="s">
        <v>974</v>
      </c>
      <c r="AB401" s="1" t="s">
        <v>7</v>
      </c>
      <c r="AC401" s="1" t="s">
        <v>10</v>
      </c>
      <c r="AD401" s="1" t="s">
        <v>4</v>
      </c>
      <c r="AE401" s="1" t="s">
        <v>10</v>
      </c>
      <c r="AF401" s="1" t="s">
        <v>5</v>
      </c>
      <c r="AG401">
        <f t="shared" si="33"/>
        <v>0</v>
      </c>
    </row>
    <row r="402" spans="27:33" hidden="1" x14ac:dyDescent="0.25">
      <c r="AA402" t="s">
        <v>2156</v>
      </c>
      <c r="AB402" s="1" t="s">
        <v>0</v>
      </c>
      <c r="AC402" s="1" t="s">
        <v>1</v>
      </c>
      <c r="AD402" s="1" t="s">
        <v>10</v>
      </c>
      <c r="AE402" s="1" t="s">
        <v>1915</v>
      </c>
      <c r="AF402" s="1" t="s">
        <v>1</v>
      </c>
      <c r="AG402">
        <f t="shared" si="33"/>
        <v>0</v>
      </c>
    </row>
    <row r="403" spans="27:33" hidden="1" x14ac:dyDescent="0.25">
      <c r="AA403" t="s">
        <v>596</v>
      </c>
      <c r="AB403" s="1" t="s">
        <v>11</v>
      </c>
      <c r="AC403" s="1" t="s">
        <v>2</v>
      </c>
      <c r="AD403" s="1" t="s">
        <v>4</v>
      </c>
      <c r="AE403" s="1" t="s">
        <v>1</v>
      </c>
      <c r="AF403" s="1" t="s">
        <v>2</v>
      </c>
      <c r="AG403">
        <f t="shared" si="33"/>
        <v>0</v>
      </c>
    </row>
    <row r="404" spans="27:33" hidden="1" x14ac:dyDescent="0.25">
      <c r="AA404" t="s">
        <v>677</v>
      </c>
      <c r="AB404" s="1" t="s">
        <v>1920</v>
      </c>
      <c r="AC404" s="1" t="s">
        <v>5</v>
      </c>
      <c r="AD404" s="1" t="s">
        <v>6</v>
      </c>
      <c r="AE404" s="1" t="s">
        <v>1915</v>
      </c>
      <c r="AF404" s="1" t="s">
        <v>5</v>
      </c>
      <c r="AG404">
        <f t="shared" si="33"/>
        <v>0</v>
      </c>
    </row>
    <row r="405" spans="27:33" hidden="1" x14ac:dyDescent="0.25">
      <c r="AA405" t="s">
        <v>1557</v>
      </c>
      <c r="AB405" s="1" t="s">
        <v>2</v>
      </c>
      <c r="AC405" s="1" t="s">
        <v>1</v>
      </c>
      <c r="AD405" s="1" t="s">
        <v>8</v>
      </c>
      <c r="AE405" s="1" t="s">
        <v>6</v>
      </c>
      <c r="AF405" s="1" t="s">
        <v>1</v>
      </c>
      <c r="AG405">
        <f t="shared" si="33"/>
        <v>0</v>
      </c>
    </row>
    <row r="406" spans="27:33" hidden="1" x14ac:dyDescent="0.25">
      <c r="AA406" t="s">
        <v>249</v>
      </c>
      <c r="AB406" s="1" t="s">
        <v>1914</v>
      </c>
      <c r="AC406" s="1" t="s">
        <v>3</v>
      </c>
      <c r="AD406" s="1" t="s">
        <v>11</v>
      </c>
      <c r="AE406" s="1" t="s">
        <v>1919</v>
      </c>
      <c r="AF406" s="1" t="s">
        <v>1</v>
      </c>
      <c r="AG406">
        <f t="shared" si="33"/>
        <v>0</v>
      </c>
    </row>
    <row r="407" spans="27:33" hidden="1" x14ac:dyDescent="0.25">
      <c r="AA407" t="s">
        <v>1146</v>
      </c>
      <c r="AB407" s="1" t="s">
        <v>6</v>
      </c>
      <c r="AC407" s="1" t="s">
        <v>1</v>
      </c>
      <c r="AD407" s="1" t="s">
        <v>7</v>
      </c>
      <c r="AE407" s="1" t="s">
        <v>1921</v>
      </c>
      <c r="AF407" s="1" t="s">
        <v>1</v>
      </c>
      <c r="AG407">
        <f t="shared" si="33"/>
        <v>0</v>
      </c>
    </row>
    <row r="408" spans="27:33" hidden="1" x14ac:dyDescent="0.25">
      <c r="AA408" t="s">
        <v>2237</v>
      </c>
      <c r="AB408" s="1" t="s">
        <v>5</v>
      </c>
      <c r="AC408" s="1" t="s">
        <v>1919</v>
      </c>
      <c r="AD408" s="1" t="s">
        <v>8</v>
      </c>
      <c r="AE408" s="1" t="s">
        <v>7</v>
      </c>
      <c r="AF408" s="1" t="s">
        <v>5</v>
      </c>
      <c r="AG408">
        <f t="shared" si="33"/>
        <v>0</v>
      </c>
    </row>
    <row r="409" spans="27:33" hidden="1" x14ac:dyDescent="0.25">
      <c r="AA409" t="s">
        <v>226</v>
      </c>
      <c r="AB409" s="1" t="s">
        <v>1914</v>
      </c>
      <c r="AC409" s="1" t="s">
        <v>5</v>
      </c>
      <c r="AD409" s="1" t="s">
        <v>7</v>
      </c>
      <c r="AE409" s="1" t="s">
        <v>7</v>
      </c>
      <c r="AF409" s="1" t="s">
        <v>5</v>
      </c>
      <c r="AG409">
        <f t="shared" si="33"/>
        <v>0</v>
      </c>
    </row>
    <row r="410" spans="27:33" hidden="1" x14ac:dyDescent="0.25">
      <c r="AA410" t="s">
        <v>557</v>
      </c>
      <c r="AB410" s="1" t="s">
        <v>1915</v>
      </c>
      <c r="AC410" s="1" t="s">
        <v>3</v>
      </c>
      <c r="AD410" s="1" t="s">
        <v>1</v>
      </c>
      <c r="AE410" s="1" t="s">
        <v>13</v>
      </c>
      <c r="AF410" s="1" t="s">
        <v>1</v>
      </c>
      <c r="AG410">
        <f t="shared" si="33"/>
        <v>0</v>
      </c>
    </row>
    <row r="411" spans="27:33" hidden="1" x14ac:dyDescent="0.25">
      <c r="AA411" t="s">
        <v>1203</v>
      </c>
      <c r="AB411" s="1" t="s">
        <v>5</v>
      </c>
      <c r="AC411" s="1" t="s">
        <v>0</v>
      </c>
      <c r="AD411" s="1" t="s">
        <v>1</v>
      </c>
      <c r="AE411" s="1" t="s">
        <v>2</v>
      </c>
      <c r="AF411" s="1" t="s">
        <v>5</v>
      </c>
      <c r="AG411">
        <f t="shared" si="33"/>
        <v>0</v>
      </c>
    </row>
    <row r="412" spans="27:33" hidden="1" x14ac:dyDescent="0.25">
      <c r="AA412" t="s">
        <v>382</v>
      </c>
      <c r="AB412" s="1" t="s">
        <v>0</v>
      </c>
      <c r="AC412" s="1" t="s">
        <v>1917</v>
      </c>
      <c r="AD412" s="1" t="s">
        <v>10</v>
      </c>
      <c r="AE412" s="1" t="s">
        <v>0</v>
      </c>
      <c r="AF412" s="1" t="s">
        <v>5</v>
      </c>
      <c r="AG412">
        <f t="shared" si="33"/>
        <v>0</v>
      </c>
    </row>
    <row r="413" spans="27:33" hidden="1" x14ac:dyDescent="0.25">
      <c r="AA413" t="s">
        <v>1762</v>
      </c>
      <c r="AB413" s="1" t="s">
        <v>4</v>
      </c>
      <c r="AC413" s="1" t="s">
        <v>3</v>
      </c>
      <c r="AD413" s="1" t="s">
        <v>11</v>
      </c>
      <c r="AE413" s="1" t="s">
        <v>4</v>
      </c>
      <c r="AF413" s="1" t="s">
        <v>1</v>
      </c>
      <c r="AG413">
        <f t="shared" si="33"/>
        <v>0</v>
      </c>
    </row>
    <row r="414" spans="27:33" hidden="1" x14ac:dyDescent="0.25">
      <c r="AA414" t="s">
        <v>2303</v>
      </c>
      <c r="AB414" s="1" t="s">
        <v>0</v>
      </c>
      <c r="AC414" s="1" t="s">
        <v>8</v>
      </c>
      <c r="AD414" s="1" t="s">
        <v>4</v>
      </c>
      <c r="AE414" s="1" t="s">
        <v>11</v>
      </c>
      <c r="AF414" s="1" t="s">
        <v>3</v>
      </c>
      <c r="AG414">
        <f t="shared" si="33"/>
        <v>0</v>
      </c>
    </row>
    <row r="415" spans="27:33" hidden="1" x14ac:dyDescent="0.25">
      <c r="AA415" t="s">
        <v>1487</v>
      </c>
      <c r="AB415" s="1" t="s">
        <v>3</v>
      </c>
      <c r="AC415" s="1" t="s">
        <v>10</v>
      </c>
      <c r="AD415" s="1" t="s">
        <v>1919</v>
      </c>
      <c r="AE415" s="1" t="s">
        <v>1</v>
      </c>
      <c r="AF415" s="1" t="s">
        <v>7</v>
      </c>
      <c r="AG415">
        <f t="shared" si="33"/>
        <v>0</v>
      </c>
    </row>
    <row r="416" spans="27:33" hidden="1" x14ac:dyDescent="0.25">
      <c r="AA416" t="s">
        <v>661</v>
      </c>
      <c r="AB416" s="1" t="s">
        <v>1920</v>
      </c>
      <c r="AC416" s="1" t="s">
        <v>7</v>
      </c>
      <c r="AD416" s="1" t="s">
        <v>11</v>
      </c>
      <c r="AE416" s="1" t="s">
        <v>15</v>
      </c>
      <c r="AF416" s="1" t="s">
        <v>11</v>
      </c>
      <c r="AG416">
        <f t="shared" si="33"/>
        <v>0</v>
      </c>
    </row>
    <row r="417" spans="27:33" hidden="1" x14ac:dyDescent="0.25">
      <c r="AA417" t="s">
        <v>1681</v>
      </c>
      <c r="AB417" s="1" t="s">
        <v>4</v>
      </c>
      <c r="AC417" s="1" t="s">
        <v>11</v>
      </c>
      <c r="AD417" s="1" t="s">
        <v>1915</v>
      </c>
      <c r="AE417" s="1" t="s">
        <v>10</v>
      </c>
      <c r="AF417" s="1" t="s">
        <v>5</v>
      </c>
      <c r="AG417">
        <f t="shared" si="33"/>
        <v>0</v>
      </c>
    </row>
    <row r="418" spans="27:33" hidden="1" x14ac:dyDescent="0.25">
      <c r="AA418" t="s">
        <v>1549</v>
      </c>
      <c r="AB418" s="1" t="s">
        <v>2</v>
      </c>
      <c r="AC418" s="1" t="s">
        <v>1</v>
      </c>
      <c r="AD418" s="1" t="s">
        <v>6</v>
      </c>
      <c r="AE418" s="1" t="s">
        <v>4</v>
      </c>
      <c r="AF418" s="1" t="s">
        <v>5</v>
      </c>
      <c r="AG418">
        <f t="shared" si="33"/>
        <v>0</v>
      </c>
    </row>
    <row r="419" spans="27:33" hidden="1" x14ac:dyDescent="0.25">
      <c r="AA419" t="s">
        <v>1313</v>
      </c>
      <c r="AB419" s="1" t="s">
        <v>9</v>
      </c>
      <c r="AC419" s="1" t="s">
        <v>11</v>
      </c>
      <c r="AD419" s="1" t="s">
        <v>3</v>
      </c>
      <c r="AE419" s="1" t="s">
        <v>3</v>
      </c>
      <c r="AF419" s="1" t="s">
        <v>1</v>
      </c>
      <c r="AG419">
        <f t="shared" si="33"/>
        <v>0</v>
      </c>
    </row>
    <row r="420" spans="27:33" hidden="1" x14ac:dyDescent="0.25">
      <c r="AA420" t="s">
        <v>115</v>
      </c>
      <c r="AB420" s="1" t="s">
        <v>1</v>
      </c>
      <c r="AC420" s="1" t="s">
        <v>3</v>
      </c>
      <c r="AD420" s="1" t="s">
        <v>11</v>
      </c>
      <c r="AE420" s="1" t="s">
        <v>6</v>
      </c>
      <c r="AF420" s="1" t="s">
        <v>1</v>
      </c>
      <c r="AG420">
        <f t="shared" si="33"/>
        <v>0</v>
      </c>
    </row>
    <row r="421" spans="27:33" hidden="1" x14ac:dyDescent="0.25">
      <c r="AA421" t="s">
        <v>2198</v>
      </c>
      <c r="AB421" s="1" t="s">
        <v>1</v>
      </c>
      <c r="AC421" s="1" t="s">
        <v>3</v>
      </c>
      <c r="AD421" s="1" t="s">
        <v>13</v>
      </c>
      <c r="AE421" s="1" t="s">
        <v>5</v>
      </c>
      <c r="AF421" s="1" t="s">
        <v>6</v>
      </c>
      <c r="AG421">
        <f t="shared" si="33"/>
        <v>0</v>
      </c>
    </row>
    <row r="422" spans="27:33" hidden="1" x14ac:dyDescent="0.25">
      <c r="AA422" t="s">
        <v>1570</v>
      </c>
      <c r="AB422" s="1" t="s">
        <v>2</v>
      </c>
      <c r="AC422" s="1" t="s">
        <v>11</v>
      </c>
      <c r="AD422" s="1" t="s">
        <v>6</v>
      </c>
      <c r="AE422" s="1" t="s">
        <v>1915</v>
      </c>
      <c r="AF422" s="1" t="s">
        <v>1</v>
      </c>
      <c r="AG422">
        <f t="shared" si="33"/>
        <v>0</v>
      </c>
    </row>
    <row r="423" spans="27:33" hidden="1" x14ac:dyDescent="0.25">
      <c r="AA423" t="s">
        <v>1141</v>
      </c>
      <c r="AB423" s="1" t="s">
        <v>6</v>
      </c>
      <c r="AC423" s="1" t="s">
        <v>1</v>
      </c>
      <c r="AD423" s="1" t="s">
        <v>0</v>
      </c>
      <c r="AE423" s="1" t="s">
        <v>1917</v>
      </c>
      <c r="AF423" s="1" t="s">
        <v>5</v>
      </c>
      <c r="AG423">
        <f t="shared" si="33"/>
        <v>0</v>
      </c>
    </row>
    <row r="424" spans="27:33" hidden="1" x14ac:dyDescent="0.25">
      <c r="AA424" t="s">
        <v>173</v>
      </c>
      <c r="AB424" s="1" t="s">
        <v>1914</v>
      </c>
      <c r="AC424" s="1" t="s">
        <v>1</v>
      </c>
      <c r="AD424" s="1" t="s">
        <v>6</v>
      </c>
      <c r="AE424" s="1" t="s">
        <v>1915</v>
      </c>
      <c r="AF424" s="1" t="s">
        <v>5</v>
      </c>
      <c r="AG424">
        <f t="shared" si="33"/>
        <v>0</v>
      </c>
    </row>
    <row r="425" spans="27:33" hidden="1" x14ac:dyDescent="0.25">
      <c r="AA425" t="s">
        <v>323</v>
      </c>
      <c r="AB425" s="1" t="s">
        <v>0</v>
      </c>
      <c r="AC425" s="1" t="s">
        <v>1</v>
      </c>
      <c r="AD425" s="1" t="s">
        <v>1923</v>
      </c>
      <c r="AE425" s="1" t="s">
        <v>8</v>
      </c>
      <c r="AF425" s="1" t="s">
        <v>10</v>
      </c>
      <c r="AG425">
        <f t="shared" si="33"/>
        <v>0</v>
      </c>
    </row>
    <row r="426" spans="27:33" hidden="1" x14ac:dyDescent="0.25">
      <c r="AA426" t="s">
        <v>456</v>
      </c>
      <c r="AB426" s="1" t="s">
        <v>0</v>
      </c>
      <c r="AC426" s="1" t="s">
        <v>5</v>
      </c>
      <c r="AD426" s="1" t="s">
        <v>3</v>
      </c>
      <c r="AE426" s="1" t="s">
        <v>4</v>
      </c>
      <c r="AF426" s="1" t="s">
        <v>11</v>
      </c>
      <c r="AG426">
        <f t="shared" si="33"/>
        <v>0</v>
      </c>
    </row>
    <row r="427" spans="27:33" hidden="1" x14ac:dyDescent="0.25">
      <c r="AA427" t="s">
        <v>512</v>
      </c>
      <c r="AB427" s="1" t="s">
        <v>1915</v>
      </c>
      <c r="AC427" s="1" t="s">
        <v>1</v>
      </c>
      <c r="AD427" s="1" t="s">
        <v>3</v>
      </c>
      <c r="AE427" s="1" t="s">
        <v>1915</v>
      </c>
      <c r="AF427" s="1" t="s">
        <v>5</v>
      </c>
      <c r="AG427">
        <f t="shared" si="33"/>
        <v>0</v>
      </c>
    </row>
    <row r="428" spans="27:33" hidden="1" x14ac:dyDescent="0.25">
      <c r="AA428" t="s">
        <v>253</v>
      </c>
      <c r="AB428" s="1" t="s">
        <v>1914</v>
      </c>
      <c r="AC428" s="1" t="s">
        <v>3</v>
      </c>
      <c r="AD428" s="1" t="s">
        <v>10</v>
      </c>
      <c r="AE428" s="1" t="s">
        <v>2</v>
      </c>
      <c r="AF428" s="1" t="s">
        <v>1</v>
      </c>
      <c r="AG428">
        <f t="shared" si="33"/>
        <v>0</v>
      </c>
    </row>
    <row r="429" spans="27:33" hidden="1" x14ac:dyDescent="0.25">
      <c r="AA429" t="s">
        <v>1705</v>
      </c>
      <c r="AB429" s="1" t="s">
        <v>4</v>
      </c>
      <c r="AC429" s="1" t="s">
        <v>11</v>
      </c>
      <c r="AD429" s="1" t="s">
        <v>1922</v>
      </c>
      <c r="AE429" s="1" t="s">
        <v>4</v>
      </c>
      <c r="AF429" s="1" t="s">
        <v>5</v>
      </c>
      <c r="AG429">
        <f t="shared" si="33"/>
        <v>0</v>
      </c>
    </row>
    <row r="430" spans="27:33" hidden="1" x14ac:dyDescent="0.25">
      <c r="AA430" t="s">
        <v>78</v>
      </c>
      <c r="AB430" s="1" t="s">
        <v>1</v>
      </c>
      <c r="AC430" s="1" t="s">
        <v>13</v>
      </c>
      <c r="AD430" s="1" t="s">
        <v>10</v>
      </c>
      <c r="AE430" s="1" t="s">
        <v>1921</v>
      </c>
      <c r="AF430" s="1" t="s">
        <v>5</v>
      </c>
      <c r="AG430">
        <f t="shared" si="33"/>
        <v>0</v>
      </c>
    </row>
    <row r="431" spans="27:33" hidden="1" x14ac:dyDescent="0.25">
      <c r="AA431" t="s">
        <v>1170</v>
      </c>
      <c r="AB431" s="1" t="s">
        <v>6</v>
      </c>
      <c r="AC431" s="1" t="s">
        <v>10</v>
      </c>
      <c r="AD431" s="1" t="s">
        <v>6</v>
      </c>
      <c r="AE431" s="1" t="s">
        <v>5</v>
      </c>
      <c r="AF431" s="1" t="s">
        <v>4</v>
      </c>
      <c r="AG431">
        <f t="shared" si="33"/>
        <v>0</v>
      </c>
    </row>
    <row r="432" spans="27:33" hidden="1" x14ac:dyDescent="0.25">
      <c r="AA432" t="s">
        <v>511</v>
      </c>
      <c r="AB432" s="1" t="s">
        <v>1915</v>
      </c>
      <c r="AC432" s="1" t="s">
        <v>1</v>
      </c>
      <c r="AD432" s="1" t="s">
        <v>6</v>
      </c>
      <c r="AE432" s="1" t="s">
        <v>12</v>
      </c>
      <c r="AF432" s="1" t="s">
        <v>1</v>
      </c>
      <c r="AG432">
        <f t="shared" si="33"/>
        <v>0</v>
      </c>
    </row>
    <row r="433" spans="27:33" hidden="1" x14ac:dyDescent="0.25">
      <c r="AA433" t="s">
        <v>2167</v>
      </c>
      <c r="AB433" s="1" t="s">
        <v>10</v>
      </c>
      <c r="AC433" s="1" t="s">
        <v>1921</v>
      </c>
      <c r="AD433" s="1" t="s">
        <v>6</v>
      </c>
      <c r="AE433" s="1" t="s">
        <v>11</v>
      </c>
      <c r="AF433" s="1" t="s">
        <v>5</v>
      </c>
      <c r="AG433">
        <f t="shared" si="33"/>
        <v>0</v>
      </c>
    </row>
    <row r="434" spans="27:33" hidden="1" x14ac:dyDescent="0.25">
      <c r="AA434" t="s">
        <v>646</v>
      </c>
      <c r="AB434" s="1" t="s">
        <v>1920</v>
      </c>
      <c r="AC434" s="1" t="s">
        <v>10</v>
      </c>
      <c r="AD434" s="1" t="s">
        <v>7</v>
      </c>
      <c r="AE434" s="1" t="s">
        <v>10</v>
      </c>
      <c r="AF434" s="1" t="s">
        <v>1</v>
      </c>
      <c r="AG434">
        <f t="shared" si="33"/>
        <v>0</v>
      </c>
    </row>
    <row r="435" spans="27:33" hidden="1" x14ac:dyDescent="0.25">
      <c r="AA435" t="s">
        <v>26</v>
      </c>
      <c r="AB435" s="1" t="s">
        <v>1</v>
      </c>
      <c r="AC435" s="1" t="s">
        <v>0</v>
      </c>
      <c r="AD435" s="1" t="s">
        <v>1</v>
      </c>
      <c r="AE435" s="1" t="s">
        <v>2</v>
      </c>
      <c r="AF435" s="1" t="s">
        <v>5</v>
      </c>
      <c r="AG435">
        <f t="shared" si="33"/>
        <v>0</v>
      </c>
    </row>
    <row r="436" spans="27:33" hidden="1" x14ac:dyDescent="0.25">
      <c r="AA436" t="s">
        <v>1725</v>
      </c>
      <c r="AB436" s="1" t="s">
        <v>4</v>
      </c>
      <c r="AC436" s="1" t="s">
        <v>5</v>
      </c>
      <c r="AD436" s="1" t="s">
        <v>7</v>
      </c>
      <c r="AE436" s="1" t="s">
        <v>1919</v>
      </c>
      <c r="AF436" s="1" t="s">
        <v>1</v>
      </c>
      <c r="AG436">
        <f t="shared" si="33"/>
        <v>0</v>
      </c>
    </row>
    <row r="437" spans="27:33" hidden="1" x14ac:dyDescent="0.25">
      <c r="AA437" t="s">
        <v>1554</v>
      </c>
      <c r="AB437" s="1" t="s">
        <v>2</v>
      </c>
      <c r="AC437" s="1" t="s">
        <v>1</v>
      </c>
      <c r="AD437" s="1" t="s">
        <v>3</v>
      </c>
      <c r="AE437" s="1" t="s">
        <v>3</v>
      </c>
      <c r="AF437" s="1" t="s">
        <v>5</v>
      </c>
      <c r="AG437">
        <f t="shared" si="33"/>
        <v>0</v>
      </c>
    </row>
    <row r="438" spans="27:33" hidden="1" x14ac:dyDescent="0.25">
      <c r="AA438" t="s">
        <v>298</v>
      </c>
      <c r="AB438" s="1" t="s">
        <v>0</v>
      </c>
      <c r="AC438" s="1" t="s">
        <v>1</v>
      </c>
      <c r="AD438" s="1" t="s">
        <v>7</v>
      </c>
      <c r="AE438" s="1" t="s">
        <v>1915</v>
      </c>
      <c r="AF438" s="1" t="s">
        <v>5</v>
      </c>
      <c r="AG438">
        <f t="shared" si="33"/>
        <v>0</v>
      </c>
    </row>
    <row r="439" spans="27:33" hidden="1" x14ac:dyDescent="0.25">
      <c r="AA439" t="s">
        <v>820</v>
      </c>
      <c r="AB439" s="1" t="s">
        <v>1917</v>
      </c>
      <c r="AC439" s="1" t="s">
        <v>10</v>
      </c>
      <c r="AD439" s="1" t="s">
        <v>11</v>
      </c>
      <c r="AE439" s="1" t="s">
        <v>7</v>
      </c>
      <c r="AF439" s="1" t="s">
        <v>5</v>
      </c>
      <c r="AG439">
        <f t="shared" si="33"/>
        <v>0</v>
      </c>
    </row>
    <row r="440" spans="27:33" hidden="1" x14ac:dyDescent="0.25">
      <c r="AA440" t="s">
        <v>2311</v>
      </c>
      <c r="AB440" s="1" t="s">
        <v>1914</v>
      </c>
      <c r="AC440" s="1" t="s">
        <v>1</v>
      </c>
      <c r="AD440" s="1" t="s">
        <v>13</v>
      </c>
      <c r="AE440" s="1" t="s">
        <v>1914</v>
      </c>
      <c r="AF440" s="1" t="s">
        <v>8</v>
      </c>
      <c r="AG440">
        <f t="shared" si="33"/>
        <v>0</v>
      </c>
    </row>
    <row r="441" spans="27:33" hidden="1" x14ac:dyDescent="0.25">
      <c r="AA441" t="s">
        <v>2111</v>
      </c>
      <c r="AB441" s="1" t="s">
        <v>1914</v>
      </c>
      <c r="AC441" s="1" t="s">
        <v>5</v>
      </c>
      <c r="AD441" s="1" t="s">
        <v>4</v>
      </c>
      <c r="AE441" s="1" t="s">
        <v>10</v>
      </c>
      <c r="AF441" s="1" t="s">
        <v>6</v>
      </c>
      <c r="AG441">
        <f t="shared" si="33"/>
        <v>0</v>
      </c>
    </row>
    <row r="442" spans="27:33" hidden="1" x14ac:dyDescent="0.25">
      <c r="AA442" t="s">
        <v>1542</v>
      </c>
      <c r="AB442" s="1" t="s">
        <v>2</v>
      </c>
      <c r="AC442" s="1" t="s">
        <v>1</v>
      </c>
      <c r="AD442" s="1" t="s">
        <v>7</v>
      </c>
      <c r="AE442" s="1" t="s">
        <v>4</v>
      </c>
      <c r="AF442" s="1" t="s">
        <v>5</v>
      </c>
      <c r="AG442">
        <f t="shared" si="33"/>
        <v>0</v>
      </c>
    </row>
    <row r="443" spans="27:33" hidden="1" x14ac:dyDescent="0.25">
      <c r="AA443" t="s">
        <v>1456</v>
      </c>
      <c r="AB443" s="1" t="s">
        <v>3</v>
      </c>
      <c r="AC443" s="1" t="s">
        <v>11</v>
      </c>
      <c r="AD443" s="1" t="s">
        <v>1915</v>
      </c>
      <c r="AE443" s="1" t="s">
        <v>10</v>
      </c>
      <c r="AF443" s="1" t="s">
        <v>7</v>
      </c>
      <c r="AG443">
        <f t="shared" si="33"/>
        <v>0</v>
      </c>
    </row>
    <row r="444" spans="27:33" hidden="1" x14ac:dyDescent="0.25">
      <c r="AA444" t="s">
        <v>808</v>
      </c>
      <c r="AB444" s="1" t="s">
        <v>1917</v>
      </c>
      <c r="AC444" s="1" t="s">
        <v>1</v>
      </c>
      <c r="AD444" s="1" t="s">
        <v>3</v>
      </c>
      <c r="AE444" s="1" t="s">
        <v>4</v>
      </c>
      <c r="AF444" s="1" t="s">
        <v>5</v>
      </c>
      <c r="AG444">
        <f t="shared" si="33"/>
        <v>0</v>
      </c>
    </row>
    <row r="445" spans="27:33" hidden="1" x14ac:dyDescent="0.25">
      <c r="AA445" t="s">
        <v>1711</v>
      </c>
      <c r="AB445" s="1" t="s">
        <v>4</v>
      </c>
      <c r="AC445" s="1" t="s">
        <v>10</v>
      </c>
      <c r="AD445" s="1" t="s">
        <v>1920</v>
      </c>
      <c r="AE445" s="1" t="s">
        <v>8</v>
      </c>
      <c r="AF445" s="1" t="s">
        <v>2</v>
      </c>
      <c r="AG445">
        <f t="shared" si="33"/>
        <v>0</v>
      </c>
    </row>
    <row r="446" spans="27:33" hidden="1" x14ac:dyDescent="0.25">
      <c r="AA446" t="s">
        <v>1180</v>
      </c>
      <c r="AB446" s="1" t="s">
        <v>6</v>
      </c>
      <c r="AC446" s="1" t="s">
        <v>5</v>
      </c>
      <c r="AD446" s="1" t="s">
        <v>3</v>
      </c>
      <c r="AE446" s="1" t="s">
        <v>10</v>
      </c>
      <c r="AF446" s="1" t="s">
        <v>1</v>
      </c>
      <c r="AG446">
        <f t="shared" si="33"/>
        <v>0</v>
      </c>
    </row>
    <row r="447" spans="27:33" hidden="1" x14ac:dyDescent="0.25">
      <c r="AA447" t="s">
        <v>832</v>
      </c>
      <c r="AB447" s="1" t="s">
        <v>1917</v>
      </c>
      <c r="AC447" s="1" t="s">
        <v>5</v>
      </c>
      <c r="AD447" s="1" t="s">
        <v>6</v>
      </c>
      <c r="AE447" s="1" t="s">
        <v>1921</v>
      </c>
      <c r="AF447" s="1" t="s">
        <v>5</v>
      </c>
      <c r="AG447">
        <f t="shared" si="33"/>
        <v>0</v>
      </c>
    </row>
    <row r="448" spans="27:33" hidden="1" x14ac:dyDescent="0.25">
      <c r="AA448" t="s">
        <v>1484</v>
      </c>
      <c r="AB448" s="1" t="s">
        <v>3</v>
      </c>
      <c r="AC448" s="1" t="s">
        <v>10</v>
      </c>
      <c r="AD448" s="1" t="s">
        <v>9</v>
      </c>
      <c r="AE448" s="1" t="s">
        <v>10</v>
      </c>
      <c r="AF448" s="1" t="s">
        <v>5</v>
      </c>
      <c r="AG448">
        <f t="shared" si="33"/>
        <v>0</v>
      </c>
    </row>
    <row r="449" spans="27:33" hidden="1" x14ac:dyDescent="0.25">
      <c r="AA449" t="s">
        <v>1356</v>
      </c>
      <c r="AB449" s="1" t="s">
        <v>9</v>
      </c>
      <c r="AC449" s="1" t="s">
        <v>7</v>
      </c>
      <c r="AD449" s="1" t="s">
        <v>10</v>
      </c>
      <c r="AE449" s="1" t="s">
        <v>0</v>
      </c>
      <c r="AF449" s="1" t="s">
        <v>1</v>
      </c>
      <c r="AG449">
        <f t="shared" si="33"/>
        <v>0</v>
      </c>
    </row>
    <row r="450" spans="27:33" hidden="1" x14ac:dyDescent="0.25">
      <c r="AA450" t="s">
        <v>340</v>
      </c>
      <c r="AB450" s="1" t="s">
        <v>0</v>
      </c>
      <c r="AC450" s="1" t="s">
        <v>1</v>
      </c>
      <c r="AD450" s="1" t="s">
        <v>2</v>
      </c>
      <c r="AE450" s="1" t="s">
        <v>4</v>
      </c>
      <c r="AF450" s="1" t="s">
        <v>5</v>
      </c>
      <c r="AG450">
        <f t="shared" si="33"/>
        <v>0</v>
      </c>
    </row>
    <row r="451" spans="27:33" hidden="1" x14ac:dyDescent="0.25">
      <c r="AA451" t="s">
        <v>960</v>
      </c>
      <c r="AB451" s="1" t="s">
        <v>7</v>
      </c>
      <c r="AC451" s="1" t="s">
        <v>10</v>
      </c>
      <c r="AD451" s="1" t="s">
        <v>1921</v>
      </c>
      <c r="AE451" s="1" t="s">
        <v>8</v>
      </c>
      <c r="AF451" s="1" t="s">
        <v>11</v>
      </c>
      <c r="AG451">
        <f t="shared" ref="AG451:AG514" si="34">IF(AND(Z451&gt;0,Z451&lt;7),AG450+1,0)</f>
        <v>0</v>
      </c>
    </row>
    <row r="452" spans="27:33" hidden="1" x14ac:dyDescent="0.25">
      <c r="AA452" t="s">
        <v>1137</v>
      </c>
      <c r="AB452" s="1" t="s">
        <v>13</v>
      </c>
      <c r="AC452" s="1" t="s">
        <v>8</v>
      </c>
      <c r="AD452" s="1" t="s">
        <v>4</v>
      </c>
      <c r="AE452" s="1" t="s">
        <v>8</v>
      </c>
      <c r="AF452" s="1" t="s">
        <v>1</v>
      </c>
      <c r="AG452">
        <f t="shared" si="34"/>
        <v>0</v>
      </c>
    </row>
    <row r="453" spans="27:33" hidden="1" x14ac:dyDescent="0.25">
      <c r="AA453" t="s">
        <v>411</v>
      </c>
      <c r="AB453" s="1" t="s">
        <v>0</v>
      </c>
      <c r="AC453" s="1" t="s">
        <v>10</v>
      </c>
      <c r="AD453" s="1" t="s">
        <v>6</v>
      </c>
      <c r="AE453" s="1" t="s">
        <v>4</v>
      </c>
      <c r="AF453" s="1" t="s">
        <v>5</v>
      </c>
      <c r="AG453">
        <f t="shared" si="34"/>
        <v>0</v>
      </c>
    </row>
    <row r="454" spans="27:33" hidden="1" x14ac:dyDescent="0.25">
      <c r="AA454" t="s">
        <v>2196</v>
      </c>
      <c r="AB454" s="1" t="s">
        <v>8</v>
      </c>
      <c r="AC454" s="1" t="s">
        <v>6</v>
      </c>
      <c r="AD454" s="1" t="s">
        <v>10</v>
      </c>
      <c r="AE454" s="1" t="s">
        <v>5</v>
      </c>
      <c r="AF454" s="1" t="s">
        <v>6</v>
      </c>
      <c r="AG454">
        <f t="shared" si="34"/>
        <v>0</v>
      </c>
    </row>
    <row r="455" spans="27:33" hidden="1" x14ac:dyDescent="0.25">
      <c r="AA455" t="s">
        <v>1622</v>
      </c>
      <c r="AB455" s="1" t="s">
        <v>2</v>
      </c>
      <c r="AC455" s="1" t="s">
        <v>5</v>
      </c>
      <c r="AD455" s="1" t="s">
        <v>3</v>
      </c>
      <c r="AE455" s="1" t="s">
        <v>1915</v>
      </c>
      <c r="AF455" s="1" t="s">
        <v>5</v>
      </c>
      <c r="AG455">
        <f t="shared" si="34"/>
        <v>0</v>
      </c>
    </row>
    <row r="456" spans="27:33" hidden="1" x14ac:dyDescent="0.25">
      <c r="AA456" t="s">
        <v>327</v>
      </c>
      <c r="AB456" s="1" t="s">
        <v>0</v>
      </c>
      <c r="AC456" s="1" t="s">
        <v>1</v>
      </c>
      <c r="AD456" s="1" t="s">
        <v>3</v>
      </c>
      <c r="AE456" s="1" t="s">
        <v>11</v>
      </c>
      <c r="AF456" s="1" t="s">
        <v>5</v>
      </c>
      <c r="AG456">
        <f t="shared" si="34"/>
        <v>0</v>
      </c>
    </row>
    <row r="457" spans="27:33" hidden="1" x14ac:dyDescent="0.25">
      <c r="AA457" t="s">
        <v>1757</v>
      </c>
      <c r="AB457" s="1" t="s">
        <v>4</v>
      </c>
      <c r="AC457" s="1" t="s">
        <v>3</v>
      </c>
      <c r="AD457" s="1" t="s">
        <v>1</v>
      </c>
      <c r="AE457" s="1" t="s">
        <v>4</v>
      </c>
      <c r="AF457" s="1" t="s">
        <v>5</v>
      </c>
      <c r="AG457">
        <f t="shared" si="34"/>
        <v>0</v>
      </c>
    </row>
    <row r="458" spans="27:33" hidden="1" x14ac:dyDescent="0.25">
      <c r="AA458" t="s">
        <v>579</v>
      </c>
      <c r="AB458" s="1" t="s">
        <v>11</v>
      </c>
      <c r="AC458" s="1" t="s">
        <v>7</v>
      </c>
      <c r="AD458" s="1" t="s">
        <v>7</v>
      </c>
      <c r="AE458" s="1" t="s">
        <v>5</v>
      </c>
      <c r="AF458" s="1" t="s">
        <v>2</v>
      </c>
      <c r="AG458">
        <f t="shared" si="34"/>
        <v>0</v>
      </c>
    </row>
    <row r="459" spans="27:33" hidden="1" x14ac:dyDescent="0.25">
      <c r="AA459" t="s">
        <v>757</v>
      </c>
      <c r="AB459" s="1" t="s">
        <v>1921</v>
      </c>
      <c r="AC459" s="1" t="s">
        <v>3</v>
      </c>
      <c r="AD459" s="1" t="s">
        <v>1</v>
      </c>
      <c r="AE459" s="1" t="s">
        <v>6</v>
      </c>
      <c r="AF459" s="1" t="s">
        <v>1</v>
      </c>
      <c r="AG459">
        <f t="shared" si="34"/>
        <v>0</v>
      </c>
    </row>
    <row r="460" spans="27:33" hidden="1" x14ac:dyDescent="0.25">
      <c r="AA460" t="s">
        <v>1676</v>
      </c>
      <c r="AB460" s="1" t="s">
        <v>4</v>
      </c>
      <c r="AC460" s="1" t="s">
        <v>1</v>
      </c>
      <c r="AD460" s="1" t="s">
        <v>8</v>
      </c>
      <c r="AE460" s="1" t="s">
        <v>3</v>
      </c>
      <c r="AF460" s="1" t="s">
        <v>5</v>
      </c>
      <c r="AG460">
        <f t="shared" si="34"/>
        <v>0</v>
      </c>
    </row>
    <row r="461" spans="27:33" hidden="1" x14ac:dyDescent="0.25">
      <c r="AA461" t="s">
        <v>997</v>
      </c>
      <c r="AB461" s="1" t="s">
        <v>7</v>
      </c>
      <c r="AC461" s="1" t="s">
        <v>8</v>
      </c>
      <c r="AD461" s="1" t="s">
        <v>9</v>
      </c>
      <c r="AE461" s="1" t="s">
        <v>8</v>
      </c>
      <c r="AF461" s="1" t="s">
        <v>2</v>
      </c>
      <c r="AG461">
        <f t="shared" si="34"/>
        <v>0</v>
      </c>
    </row>
    <row r="462" spans="27:33" hidden="1" x14ac:dyDescent="0.25">
      <c r="AA462" t="s">
        <v>2252</v>
      </c>
      <c r="AB462" s="1" t="s">
        <v>9</v>
      </c>
      <c r="AC462" s="1" t="s">
        <v>10</v>
      </c>
      <c r="AD462" s="1" t="s">
        <v>1916</v>
      </c>
      <c r="AE462" s="1" t="s">
        <v>5</v>
      </c>
      <c r="AF462" s="1" t="s">
        <v>6</v>
      </c>
      <c r="AG462">
        <f t="shared" si="34"/>
        <v>0</v>
      </c>
    </row>
    <row r="463" spans="27:33" hidden="1" x14ac:dyDescent="0.25">
      <c r="AA463" t="s">
        <v>1154</v>
      </c>
      <c r="AB463" s="1" t="s">
        <v>6</v>
      </c>
      <c r="AC463" s="1" t="s">
        <v>11</v>
      </c>
      <c r="AD463" s="1" t="s">
        <v>0</v>
      </c>
      <c r="AE463" s="1" t="s">
        <v>10</v>
      </c>
      <c r="AF463" s="1" t="s">
        <v>1</v>
      </c>
      <c r="AG463">
        <f t="shared" si="34"/>
        <v>0</v>
      </c>
    </row>
    <row r="464" spans="27:33" hidden="1" x14ac:dyDescent="0.25">
      <c r="AA464" t="s">
        <v>1880</v>
      </c>
      <c r="AB464" s="1" t="s">
        <v>1918</v>
      </c>
      <c r="AC464" s="1" t="s">
        <v>1</v>
      </c>
      <c r="AD464" s="1" t="s">
        <v>0</v>
      </c>
      <c r="AE464" s="1" t="s">
        <v>11</v>
      </c>
      <c r="AF464" s="1" t="s">
        <v>3</v>
      </c>
      <c r="AG464">
        <f t="shared" si="34"/>
        <v>0</v>
      </c>
    </row>
    <row r="465" spans="27:33" hidden="1" x14ac:dyDescent="0.25">
      <c r="AA465" t="s">
        <v>1430</v>
      </c>
      <c r="AB465" s="1" t="s">
        <v>3</v>
      </c>
      <c r="AC465" s="1" t="s">
        <v>1</v>
      </c>
      <c r="AD465" s="1" t="s">
        <v>1915</v>
      </c>
      <c r="AE465" s="1" t="s">
        <v>10</v>
      </c>
      <c r="AF465" s="1" t="s">
        <v>5</v>
      </c>
      <c r="AG465">
        <f t="shared" si="34"/>
        <v>0</v>
      </c>
    </row>
    <row r="466" spans="27:33" hidden="1" x14ac:dyDescent="0.25">
      <c r="AA466" t="s">
        <v>797</v>
      </c>
      <c r="AB466" s="1" t="s">
        <v>1917</v>
      </c>
      <c r="AC466" s="1" t="s">
        <v>1</v>
      </c>
      <c r="AD466" s="1" t="s">
        <v>1914</v>
      </c>
      <c r="AE466" s="1" t="s">
        <v>7</v>
      </c>
      <c r="AF466" s="1" t="s">
        <v>1</v>
      </c>
      <c r="AG466">
        <f t="shared" si="34"/>
        <v>0</v>
      </c>
    </row>
    <row r="467" spans="27:33" hidden="1" x14ac:dyDescent="0.25">
      <c r="AA467" t="s">
        <v>1452</v>
      </c>
      <c r="AB467" s="1" t="s">
        <v>3</v>
      </c>
      <c r="AC467" s="1" t="s">
        <v>11</v>
      </c>
      <c r="AD467" s="1" t="s">
        <v>0</v>
      </c>
      <c r="AE467" s="1" t="s">
        <v>10</v>
      </c>
      <c r="AF467" s="1" t="s">
        <v>5</v>
      </c>
      <c r="AG467">
        <f t="shared" si="34"/>
        <v>0</v>
      </c>
    </row>
    <row r="468" spans="27:33" hidden="1" x14ac:dyDescent="0.25">
      <c r="AA468" t="s">
        <v>706</v>
      </c>
      <c r="AB468" s="1" t="s">
        <v>1920</v>
      </c>
      <c r="AC468" s="1" t="s">
        <v>8</v>
      </c>
      <c r="AD468" s="1" t="s">
        <v>2</v>
      </c>
      <c r="AE468" s="1" t="s">
        <v>4</v>
      </c>
      <c r="AF468" s="1" t="s">
        <v>11</v>
      </c>
      <c r="AG468">
        <f t="shared" si="34"/>
        <v>0</v>
      </c>
    </row>
    <row r="469" spans="27:33" hidden="1" x14ac:dyDescent="0.25">
      <c r="AA469" t="s">
        <v>2044</v>
      </c>
      <c r="AB469" s="1" t="s">
        <v>1915</v>
      </c>
      <c r="AC469" s="1" t="s">
        <v>11</v>
      </c>
      <c r="AD469" s="1" t="s">
        <v>1914</v>
      </c>
      <c r="AE469" s="1" t="s">
        <v>10</v>
      </c>
      <c r="AF469" s="1" t="s">
        <v>7</v>
      </c>
      <c r="AG469">
        <f t="shared" si="34"/>
        <v>0</v>
      </c>
    </row>
    <row r="470" spans="27:33" hidden="1" x14ac:dyDescent="0.25">
      <c r="AA470" t="s">
        <v>134</v>
      </c>
      <c r="AB470" s="1" t="s">
        <v>1</v>
      </c>
      <c r="AC470" s="1" t="s">
        <v>4</v>
      </c>
      <c r="AD470" s="1" t="s">
        <v>7</v>
      </c>
      <c r="AE470" s="1" t="s">
        <v>1</v>
      </c>
      <c r="AF470" s="1" t="s">
        <v>2</v>
      </c>
      <c r="AG470">
        <f t="shared" si="34"/>
        <v>0</v>
      </c>
    </row>
    <row r="471" spans="27:33" hidden="1" x14ac:dyDescent="0.25">
      <c r="AA471" t="s">
        <v>32</v>
      </c>
      <c r="AB471" s="1" t="s">
        <v>1</v>
      </c>
      <c r="AC471" s="1" t="s">
        <v>0</v>
      </c>
      <c r="AD471" s="1" t="s">
        <v>4</v>
      </c>
      <c r="AE471" s="1" t="s">
        <v>5</v>
      </c>
      <c r="AF471" s="1" t="s">
        <v>3</v>
      </c>
      <c r="AG471">
        <f t="shared" si="34"/>
        <v>0</v>
      </c>
    </row>
    <row r="472" spans="27:33" hidden="1" x14ac:dyDescent="0.25">
      <c r="AA472" t="s">
        <v>2008</v>
      </c>
      <c r="AB472" s="1" t="s">
        <v>3</v>
      </c>
      <c r="AC472" s="1" t="s">
        <v>1</v>
      </c>
      <c r="AD472" s="1" t="s">
        <v>9</v>
      </c>
      <c r="AE472" s="1" t="s">
        <v>11</v>
      </c>
      <c r="AF472" s="1" t="s">
        <v>7</v>
      </c>
      <c r="AG472">
        <f t="shared" si="34"/>
        <v>0</v>
      </c>
    </row>
    <row r="473" spans="27:33" hidden="1" x14ac:dyDescent="0.25">
      <c r="AA473" t="s">
        <v>659</v>
      </c>
      <c r="AB473" s="1" t="s">
        <v>1920</v>
      </c>
      <c r="AC473" s="1" t="s">
        <v>7</v>
      </c>
      <c r="AD473" s="1" t="s">
        <v>1</v>
      </c>
      <c r="AE473" s="1" t="s">
        <v>4</v>
      </c>
      <c r="AF473" s="1" t="s">
        <v>5</v>
      </c>
      <c r="AG473">
        <f t="shared" si="34"/>
        <v>0</v>
      </c>
    </row>
    <row r="474" spans="27:33" hidden="1" x14ac:dyDescent="0.25">
      <c r="AA474" t="s">
        <v>2041</v>
      </c>
      <c r="AB474" s="1" t="s">
        <v>1921</v>
      </c>
      <c r="AC474" s="1" t="s">
        <v>1</v>
      </c>
      <c r="AD474" s="1" t="s">
        <v>7</v>
      </c>
      <c r="AE474" s="1" t="s">
        <v>1</v>
      </c>
      <c r="AF474" s="1" t="s">
        <v>6</v>
      </c>
      <c r="AG474">
        <f t="shared" si="34"/>
        <v>0</v>
      </c>
    </row>
    <row r="475" spans="27:33" hidden="1" x14ac:dyDescent="0.25">
      <c r="AA475" t="s">
        <v>1002</v>
      </c>
      <c r="AB475" s="1" t="s">
        <v>13</v>
      </c>
      <c r="AC475" s="1" t="s">
        <v>1</v>
      </c>
      <c r="AD475" s="1" t="s">
        <v>0</v>
      </c>
      <c r="AE475" s="1" t="s">
        <v>3</v>
      </c>
      <c r="AF475" s="1" t="s">
        <v>5</v>
      </c>
      <c r="AG475">
        <f t="shared" si="34"/>
        <v>0</v>
      </c>
    </row>
    <row r="476" spans="27:33" hidden="1" x14ac:dyDescent="0.25">
      <c r="AA476" t="s">
        <v>1701</v>
      </c>
      <c r="AB476" s="1" t="s">
        <v>4</v>
      </c>
      <c r="AC476" s="1" t="s">
        <v>11</v>
      </c>
      <c r="AD476" s="1" t="s">
        <v>3</v>
      </c>
      <c r="AE476" s="1" t="s">
        <v>2</v>
      </c>
      <c r="AF476" s="1" t="s">
        <v>5</v>
      </c>
      <c r="AG476">
        <f t="shared" si="34"/>
        <v>0</v>
      </c>
    </row>
    <row r="477" spans="27:33" hidden="1" x14ac:dyDescent="0.25">
      <c r="AA477" t="s">
        <v>427</v>
      </c>
      <c r="AB477" s="1" t="s">
        <v>0</v>
      </c>
      <c r="AC477" s="1" t="s">
        <v>7</v>
      </c>
      <c r="AD477" s="1" t="s">
        <v>10</v>
      </c>
      <c r="AE477" s="1" t="s">
        <v>13</v>
      </c>
      <c r="AF477" s="1" t="s">
        <v>1</v>
      </c>
      <c r="AG477">
        <f t="shared" si="34"/>
        <v>0</v>
      </c>
    </row>
    <row r="478" spans="27:33" hidden="1" x14ac:dyDescent="0.25">
      <c r="AA478" t="s">
        <v>2209</v>
      </c>
      <c r="AB478" s="1" t="s">
        <v>9</v>
      </c>
      <c r="AC478" s="1" t="s">
        <v>10</v>
      </c>
      <c r="AD478" s="1" t="s">
        <v>4</v>
      </c>
      <c r="AE478" s="1" t="s">
        <v>5</v>
      </c>
      <c r="AF478" s="1" t="s">
        <v>6</v>
      </c>
      <c r="AG478">
        <f t="shared" si="34"/>
        <v>0</v>
      </c>
    </row>
    <row r="479" spans="27:33" hidden="1" x14ac:dyDescent="0.25">
      <c r="AA479" t="s">
        <v>430</v>
      </c>
      <c r="AB479" s="1" t="s">
        <v>0</v>
      </c>
      <c r="AC479" s="1" t="s">
        <v>5</v>
      </c>
      <c r="AD479" s="1" t="s">
        <v>1914</v>
      </c>
      <c r="AE479" s="1" t="s">
        <v>3</v>
      </c>
      <c r="AF479" s="1" t="s">
        <v>11</v>
      </c>
      <c r="AG479">
        <f t="shared" si="34"/>
        <v>0</v>
      </c>
    </row>
    <row r="480" spans="27:33" hidden="1" x14ac:dyDescent="0.25">
      <c r="AA480" t="s">
        <v>1997</v>
      </c>
      <c r="AB480" s="1" t="s">
        <v>1</v>
      </c>
      <c r="AC480" s="1" t="s">
        <v>4</v>
      </c>
      <c r="AD480" s="1" t="s">
        <v>3</v>
      </c>
      <c r="AE480" s="1" t="s">
        <v>1</v>
      </c>
      <c r="AF480" s="1" t="s">
        <v>2</v>
      </c>
      <c r="AG480">
        <f t="shared" si="34"/>
        <v>0</v>
      </c>
    </row>
    <row r="481" spans="27:33" hidden="1" x14ac:dyDescent="0.25">
      <c r="AA481" t="s">
        <v>162</v>
      </c>
      <c r="AB481" s="1" t="s">
        <v>1914</v>
      </c>
      <c r="AC481" s="1" t="s">
        <v>1</v>
      </c>
      <c r="AD481" s="1" t="s">
        <v>15</v>
      </c>
      <c r="AE481" s="1" t="s">
        <v>11</v>
      </c>
      <c r="AF481" s="1" t="s">
        <v>7</v>
      </c>
      <c r="AG481">
        <f t="shared" si="34"/>
        <v>0</v>
      </c>
    </row>
    <row r="482" spans="27:33" hidden="1" x14ac:dyDescent="0.25">
      <c r="AA482" t="s">
        <v>1806</v>
      </c>
      <c r="AB482" s="1" t="s">
        <v>1919</v>
      </c>
      <c r="AC482" s="1" t="s">
        <v>1</v>
      </c>
      <c r="AD482" s="1" t="s">
        <v>0</v>
      </c>
      <c r="AE482" s="1" t="s">
        <v>8</v>
      </c>
      <c r="AF482" s="1" t="s">
        <v>5</v>
      </c>
      <c r="AG482">
        <f t="shared" si="34"/>
        <v>0</v>
      </c>
    </row>
    <row r="483" spans="27:33" hidden="1" x14ac:dyDescent="0.25">
      <c r="AA483" t="s">
        <v>2024</v>
      </c>
      <c r="AB483" s="1" t="s">
        <v>9</v>
      </c>
      <c r="AC483" s="1" t="s">
        <v>1</v>
      </c>
      <c r="AD483" s="1" t="s">
        <v>1915</v>
      </c>
      <c r="AE483" s="1" t="s">
        <v>11</v>
      </c>
      <c r="AF483" s="1" t="s">
        <v>7</v>
      </c>
      <c r="AG483">
        <f t="shared" si="34"/>
        <v>0</v>
      </c>
    </row>
    <row r="484" spans="27:33" hidden="1" x14ac:dyDescent="0.25">
      <c r="AA484" t="s">
        <v>1967</v>
      </c>
      <c r="AB484" s="1" t="s">
        <v>9</v>
      </c>
      <c r="AC484" s="1" t="s">
        <v>1</v>
      </c>
      <c r="AD484" s="1" t="s">
        <v>1916</v>
      </c>
      <c r="AE484" s="1" t="s">
        <v>5</v>
      </c>
      <c r="AF484" s="1" t="s">
        <v>2</v>
      </c>
      <c r="AG484">
        <f t="shared" si="34"/>
        <v>0</v>
      </c>
    </row>
    <row r="485" spans="27:33" hidden="1" x14ac:dyDescent="0.25">
      <c r="AA485" t="s">
        <v>1036</v>
      </c>
      <c r="AB485" s="1" t="s">
        <v>13</v>
      </c>
      <c r="AC485" s="1" t="s">
        <v>1</v>
      </c>
      <c r="AD485" s="1" t="s">
        <v>3</v>
      </c>
      <c r="AE485" s="1" t="s">
        <v>4</v>
      </c>
      <c r="AF485" s="1" t="s">
        <v>1</v>
      </c>
      <c r="AG485">
        <f t="shared" si="34"/>
        <v>0</v>
      </c>
    </row>
    <row r="486" spans="27:33" hidden="1" x14ac:dyDescent="0.25">
      <c r="AA486" t="s">
        <v>1525</v>
      </c>
      <c r="AB486" s="1" t="s">
        <v>3</v>
      </c>
      <c r="AC486" s="1" t="s">
        <v>8</v>
      </c>
      <c r="AD486" s="1" t="s">
        <v>3</v>
      </c>
      <c r="AE486" s="1" t="s">
        <v>1</v>
      </c>
      <c r="AF486" s="1" t="s">
        <v>7</v>
      </c>
      <c r="AG486">
        <f t="shared" si="34"/>
        <v>0</v>
      </c>
    </row>
    <row r="487" spans="27:33" hidden="1" x14ac:dyDescent="0.25">
      <c r="AA487" t="s">
        <v>630</v>
      </c>
      <c r="AB487" s="1" t="s">
        <v>1920</v>
      </c>
      <c r="AC487" s="1" t="s">
        <v>11</v>
      </c>
      <c r="AD487" s="1" t="s">
        <v>7</v>
      </c>
      <c r="AE487" s="1" t="s">
        <v>9</v>
      </c>
      <c r="AF487" s="1" t="s">
        <v>1</v>
      </c>
      <c r="AG487">
        <f t="shared" si="34"/>
        <v>0</v>
      </c>
    </row>
    <row r="488" spans="27:33" hidden="1" x14ac:dyDescent="0.25">
      <c r="AA488" t="s">
        <v>1150</v>
      </c>
      <c r="AB488" s="1" t="s">
        <v>6</v>
      </c>
      <c r="AC488" s="1" t="s">
        <v>1</v>
      </c>
      <c r="AD488" s="1" t="s">
        <v>3</v>
      </c>
      <c r="AE488" s="1" t="s">
        <v>10</v>
      </c>
      <c r="AF488" s="1" t="s">
        <v>12</v>
      </c>
      <c r="AG488">
        <f t="shared" si="34"/>
        <v>0</v>
      </c>
    </row>
    <row r="489" spans="27:33" hidden="1" x14ac:dyDescent="0.25">
      <c r="AA489" t="s">
        <v>492</v>
      </c>
      <c r="AB489" s="1" t="s">
        <v>0</v>
      </c>
      <c r="AC489" s="1" t="s">
        <v>8</v>
      </c>
      <c r="AD489" s="1" t="s">
        <v>7</v>
      </c>
      <c r="AE489" s="1" t="s">
        <v>4</v>
      </c>
      <c r="AF489" s="1" t="s">
        <v>5</v>
      </c>
      <c r="AG489">
        <f t="shared" si="34"/>
        <v>0</v>
      </c>
    </row>
    <row r="490" spans="27:33" hidden="1" x14ac:dyDescent="0.25">
      <c r="AA490" t="s">
        <v>2137</v>
      </c>
      <c r="AB490" s="1" t="s">
        <v>7</v>
      </c>
      <c r="AC490" s="1" t="s">
        <v>11</v>
      </c>
      <c r="AD490" s="1" t="s">
        <v>10</v>
      </c>
      <c r="AE490" s="1" t="s">
        <v>1915</v>
      </c>
      <c r="AF490" s="1" t="s">
        <v>1</v>
      </c>
      <c r="AG490">
        <f t="shared" si="34"/>
        <v>0</v>
      </c>
    </row>
    <row r="491" spans="27:33" hidden="1" x14ac:dyDescent="0.25">
      <c r="AA491" t="s">
        <v>1265</v>
      </c>
      <c r="AB491" s="1" t="s">
        <v>9</v>
      </c>
      <c r="AC491" s="1" t="s">
        <v>1</v>
      </c>
      <c r="AD491" s="1" t="s">
        <v>9</v>
      </c>
      <c r="AE491" s="1" t="s">
        <v>11</v>
      </c>
      <c r="AF491" s="1" t="s">
        <v>5</v>
      </c>
      <c r="AG491">
        <f t="shared" si="34"/>
        <v>0</v>
      </c>
    </row>
    <row r="492" spans="27:33" hidden="1" x14ac:dyDescent="0.25">
      <c r="AA492" t="s">
        <v>2125</v>
      </c>
      <c r="AB492" s="1" t="s">
        <v>2</v>
      </c>
      <c r="AC492" s="1" t="s">
        <v>10</v>
      </c>
      <c r="AD492" s="1" t="s">
        <v>13</v>
      </c>
      <c r="AE492" s="1" t="s">
        <v>10</v>
      </c>
      <c r="AF492" s="1" t="s">
        <v>7</v>
      </c>
      <c r="AG492">
        <f t="shared" si="34"/>
        <v>0</v>
      </c>
    </row>
    <row r="493" spans="27:33" hidden="1" x14ac:dyDescent="0.25">
      <c r="AA493" t="s">
        <v>2036</v>
      </c>
      <c r="AB493" s="1" t="s">
        <v>1</v>
      </c>
      <c r="AC493" s="1" t="s">
        <v>7</v>
      </c>
      <c r="AD493" s="1" t="s">
        <v>1</v>
      </c>
      <c r="AE493" s="1" t="s">
        <v>1914</v>
      </c>
      <c r="AF493" s="1" t="s">
        <v>11</v>
      </c>
      <c r="AG493">
        <f t="shared" si="34"/>
        <v>0</v>
      </c>
    </row>
    <row r="494" spans="27:33" hidden="1" x14ac:dyDescent="0.25">
      <c r="AA494" t="s">
        <v>1613</v>
      </c>
      <c r="AB494" s="1" t="s">
        <v>2</v>
      </c>
      <c r="AC494" s="1" t="s">
        <v>5</v>
      </c>
      <c r="AD494" s="1" t="s">
        <v>7</v>
      </c>
      <c r="AE494" s="1" t="s">
        <v>1</v>
      </c>
      <c r="AF494" s="1" t="s">
        <v>12</v>
      </c>
      <c r="AG494">
        <f t="shared" si="34"/>
        <v>0</v>
      </c>
    </row>
    <row r="495" spans="27:33" hidden="1" x14ac:dyDescent="0.25">
      <c r="AA495" t="s">
        <v>2268</v>
      </c>
      <c r="AB495" s="1" t="s">
        <v>2</v>
      </c>
      <c r="AC495" s="1" t="s">
        <v>5</v>
      </c>
      <c r="AD495" s="1" t="s">
        <v>7</v>
      </c>
      <c r="AE495" s="1" t="s">
        <v>11</v>
      </c>
      <c r="AF495" s="1" t="s">
        <v>5</v>
      </c>
      <c r="AG495">
        <f t="shared" si="34"/>
        <v>0</v>
      </c>
    </row>
    <row r="496" spans="27:33" hidden="1" x14ac:dyDescent="0.25">
      <c r="AA496" t="s">
        <v>2082</v>
      </c>
      <c r="AB496" s="1" t="s">
        <v>11</v>
      </c>
      <c r="AC496" s="1" t="s">
        <v>1922</v>
      </c>
      <c r="AD496" s="1" t="s">
        <v>5</v>
      </c>
      <c r="AE496" s="1" t="s">
        <v>1915</v>
      </c>
      <c r="AF496" s="1" t="s">
        <v>5</v>
      </c>
      <c r="AG496">
        <f t="shared" si="34"/>
        <v>0</v>
      </c>
    </row>
    <row r="497" spans="27:33" hidden="1" x14ac:dyDescent="0.25">
      <c r="AA497" t="s">
        <v>2081</v>
      </c>
      <c r="AB497" s="1" t="s">
        <v>11</v>
      </c>
      <c r="AC497" s="1" t="s">
        <v>9</v>
      </c>
      <c r="AD497" s="1" t="s">
        <v>10</v>
      </c>
      <c r="AE497" s="1" t="s">
        <v>0</v>
      </c>
      <c r="AF497" s="1" t="s">
        <v>5</v>
      </c>
      <c r="AG497">
        <f t="shared" si="34"/>
        <v>0</v>
      </c>
    </row>
    <row r="498" spans="27:33" hidden="1" x14ac:dyDescent="0.25">
      <c r="AA498" t="s">
        <v>1872</v>
      </c>
      <c r="AB498" s="1" t="s">
        <v>1919</v>
      </c>
      <c r="AC498" s="1" t="s">
        <v>5</v>
      </c>
      <c r="AD498" s="1" t="s">
        <v>7</v>
      </c>
      <c r="AE498" s="1" t="s">
        <v>11</v>
      </c>
      <c r="AF498" s="1" t="s">
        <v>1</v>
      </c>
      <c r="AG498">
        <f t="shared" si="34"/>
        <v>0</v>
      </c>
    </row>
    <row r="499" spans="27:33" hidden="1" x14ac:dyDescent="0.25">
      <c r="AA499" t="s">
        <v>2110</v>
      </c>
      <c r="AB499" s="1" t="s">
        <v>9</v>
      </c>
      <c r="AC499" s="1" t="s">
        <v>10</v>
      </c>
      <c r="AD499" s="1" t="s">
        <v>1919</v>
      </c>
      <c r="AE499" s="1" t="s">
        <v>5</v>
      </c>
      <c r="AF499" s="1" t="s">
        <v>4</v>
      </c>
      <c r="AG499">
        <f t="shared" si="34"/>
        <v>0</v>
      </c>
    </row>
    <row r="500" spans="27:33" hidden="1" x14ac:dyDescent="0.25">
      <c r="AA500" t="s">
        <v>2078</v>
      </c>
      <c r="AB500" s="1" t="s">
        <v>0</v>
      </c>
      <c r="AC500" s="1" t="s">
        <v>8</v>
      </c>
      <c r="AD500" s="1" t="s">
        <v>0</v>
      </c>
      <c r="AE500" s="1" t="s">
        <v>1917</v>
      </c>
      <c r="AF500" s="1" t="s">
        <v>11</v>
      </c>
      <c r="AG500">
        <f t="shared" si="34"/>
        <v>0</v>
      </c>
    </row>
    <row r="501" spans="27:33" hidden="1" x14ac:dyDescent="0.25">
      <c r="AA501" t="s">
        <v>521</v>
      </c>
      <c r="AB501" s="1" t="s">
        <v>1915</v>
      </c>
      <c r="AC501" s="1" t="s">
        <v>11</v>
      </c>
      <c r="AD501" s="1" t="s">
        <v>7</v>
      </c>
      <c r="AE501" s="1" t="s">
        <v>4</v>
      </c>
      <c r="AF501" s="1" t="s">
        <v>1</v>
      </c>
      <c r="AG501">
        <f t="shared" si="34"/>
        <v>0</v>
      </c>
    </row>
    <row r="502" spans="27:33" hidden="1" x14ac:dyDescent="0.25">
      <c r="AA502" t="s">
        <v>1357</v>
      </c>
      <c r="AB502" s="1" t="s">
        <v>9</v>
      </c>
      <c r="AC502" s="1" t="s">
        <v>7</v>
      </c>
      <c r="AD502" s="1" t="s">
        <v>5</v>
      </c>
      <c r="AE502" s="1" t="s">
        <v>13</v>
      </c>
      <c r="AF502" s="1" t="s">
        <v>5</v>
      </c>
      <c r="AG502">
        <f t="shared" si="34"/>
        <v>0</v>
      </c>
    </row>
    <row r="503" spans="27:33" hidden="1" x14ac:dyDescent="0.25">
      <c r="AA503" t="s">
        <v>1975</v>
      </c>
      <c r="AB503" s="1" t="s">
        <v>1919</v>
      </c>
      <c r="AC503" s="1" t="s">
        <v>1</v>
      </c>
      <c r="AD503" s="1" t="s">
        <v>0</v>
      </c>
      <c r="AE503" s="1" t="s">
        <v>1</v>
      </c>
      <c r="AF503" s="1" t="s">
        <v>2</v>
      </c>
      <c r="AG503">
        <f t="shared" si="34"/>
        <v>0</v>
      </c>
    </row>
    <row r="504" spans="27:33" hidden="1" x14ac:dyDescent="0.25">
      <c r="AA504" t="s">
        <v>1788</v>
      </c>
      <c r="AB504" s="1" t="s">
        <v>4</v>
      </c>
      <c r="AC504" s="1" t="s">
        <v>8</v>
      </c>
      <c r="AD504" s="1" t="s">
        <v>4</v>
      </c>
      <c r="AE504" s="1" t="s">
        <v>11</v>
      </c>
      <c r="AF504" s="1" t="s">
        <v>5</v>
      </c>
      <c r="AG504">
        <f t="shared" si="34"/>
        <v>0</v>
      </c>
    </row>
    <row r="505" spans="27:33" hidden="1" x14ac:dyDescent="0.25">
      <c r="AA505" t="s">
        <v>928</v>
      </c>
      <c r="AB505" s="1" t="s">
        <v>7</v>
      </c>
      <c r="AC505" s="1" t="s">
        <v>1</v>
      </c>
      <c r="AD505" s="1" t="s">
        <v>3</v>
      </c>
      <c r="AE505" s="1" t="s">
        <v>1921</v>
      </c>
      <c r="AF505" s="1" t="s">
        <v>5</v>
      </c>
      <c r="AG505">
        <f t="shared" si="34"/>
        <v>0</v>
      </c>
    </row>
    <row r="506" spans="27:33" hidden="1" x14ac:dyDescent="0.25">
      <c r="AA506" t="s">
        <v>1348</v>
      </c>
      <c r="AB506" s="1" t="s">
        <v>9</v>
      </c>
      <c r="AC506" s="1" t="s">
        <v>7</v>
      </c>
      <c r="AD506" s="1" t="s">
        <v>1</v>
      </c>
      <c r="AE506" s="1" t="s">
        <v>6</v>
      </c>
      <c r="AF506" s="1" t="s">
        <v>5</v>
      </c>
      <c r="AG506">
        <f t="shared" si="34"/>
        <v>0</v>
      </c>
    </row>
    <row r="507" spans="27:33" hidden="1" x14ac:dyDescent="0.25">
      <c r="AA507" t="s">
        <v>373</v>
      </c>
      <c r="AB507" s="1" t="s">
        <v>0</v>
      </c>
      <c r="AC507" s="1" t="s">
        <v>1917</v>
      </c>
      <c r="AD507" s="1" t="s">
        <v>1</v>
      </c>
      <c r="AE507" s="1" t="s">
        <v>9</v>
      </c>
      <c r="AF507" s="1" t="s">
        <v>1</v>
      </c>
      <c r="AG507">
        <f t="shared" si="34"/>
        <v>0</v>
      </c>
    </row>
    <row r="508" spans="27:33" hidden="1" x14ac:dyDescent="0.25">
      <c r="AA508" t="s">
        <v>107</v>
      </c>
      <c r="AB508" s="1" t="s">
        <v>1</v>
      </c>
      <c r="AC508" s="1" t="s">
        <v>1923</v>
      </c>
      <c r="AD508" s="1" t="s">
        <v>8</v>
      </c>
      <c r="AE508" s="1" t="s">
        <v>11</v>
      </c>
      <c r="AF508" s="1" t="s">
        <v>7</v>
      </c>
      <c r="AG508">
        <f t="shared" si="34"/>
        <v>0</v>
      </c>
    </row>
    <row r="509" spans="27:33" hidden="1" x14ac:dyDescent="0.25">
      <c r="AA509" t="s">
        <v>2000</v>
      </c>
      <c r="AB509" s="1" t="s">
        <v>1</v>
      </c>
      <c r="AC509" s="1" t="s">
        <v>2</v>
      </c>
      <c r="AD509" s="1" t="s">
        <v>9</v>
      </c>
      <c r="AE509" s="1" t="s">
        <v>10</v>
      </c>
      <c r="AF509" s="1" t="s">
        <v>1915</v>
      </c>
      <c r="AG509">
        <f t="shared" si="34"/>
        <v>0</v>
      </c>
    </row>
    <row r="510" spans="27:33" hidden="1" x14ac:dyDescent="0.25">
      <c r="AA510" t="s">
        <v>1327</v>
      </c>
      <c r="AB510" s="1" t="s">
        <v>9</v>
      </c>
      <c r="AC510" s="1" t="s">
        <v>10</v>
      </c>
      <c r="AD510" s="1" t="s">
        <v>1920</v>
      </c>
      <c r="AE510" s="1" t="s">
        <v>10</v>
      </c>
      <c r="AF510" s="1" t="s">
        <v>1</v>
      </c>
      <c r="AG510">
        <f t="shared" si="34"/>
        <v>0</v>
      </c>
    </row>
    <row r="511" spans="27:33" hidden="1" x14ac:dyDescent="0.25">
      <c r="AA511" t="s">
        <v>258</v>
      </c>
      <c r="AB511" s="1" t="s">
        <v>1914</v>
      </c>
      <c r="AC511" s="1" t="s">
        <v>3</v>
      </c>
      <c r="AD511" s="1" t="s">
        <v>8</v>
      </c>
      <c r="AE511" s="1" t="s">
        <v>15</v>
      </c>
      <c r="AF511" s="1" t="s">
        <v>1</v>
      </c>
      <c r="AG511">
        <f t="shared" si="34"/>
        <v>0</v>
      </c>
    </row>
    <row r="512" spans="27:33" hidden="1" x14ac:dyDescent="0.25">
      <c r="AA512" t="s">
        <v>2305</v>
      </c>
      <c r="AB512" s="1" t="s">
        <v>3</v>
      </c>
      <c r="AC512" s="1" t="s">
        <v>11</v>
      </c>
      <c r="AD512" s="1" t="s">
        <v>8</v>
      </c>
      <c r="AE512" s="1" t="s">
        <v>13</v>
      </c>
      <c r="AF512" s="1" t="s">
        <v>1</v>
      </c>
      <c r="AG512">
        <f t="shared" si="34"/>
        <v>0</v>
      </c>
    </row>
    <row r="513" spans="27:33" hidden="1" x14ac:dyDescent="0.25">
      <c r="AA513" t="s">
        <v>2101</v>
      </c>
      <c r="AB513" s="1" t="s">
        <v>1919</v>
      </c>
      <c r="AC513" s="1" t="s">
        <v>1</v>
      </c>
      <c r="AD513" s="1" t="s">
        <v>0</v>
      </c>
      <c r="AE513" s="1" t="s">
        <v>10</v>
      </c>
      <c r="AF513" s="1" t="s">
        <v>1</v>
      </c>
      <c r="AG513">
        <f t="shared" si="34"/>
        <v>0</v>
      </c>
    </row>
    <row r="514" spans="27:33" hidden="1" x14ac:dyDescent="0.25">
      <c r="AA514" t="s">
        <v>1263</v>
      </c>
      <c r="AB514" s="1" t="s">
        <v>9</v>
      </c>
      <c r="AC514" s="1" t="s">
        <v>1</v>
      </c>
      <c r="AD514" s="1" t="s">
        <v>9</v>
      </c>
      <c r="AE514" s="1" t="s">
        <v>1</v>
      </c>
      <c r="AF514" s="1" t="s">
        <v>7</v>
      </c>
      <c r="AG514">
        <f t="shared" si="34"/>
        <v>0</v>
      </c>
    </row>
    <row r="515" spans="27:33" hidden="1" x14ac:dyDescent="0.25">
      <c r="AA515" t="s">
        <v>2194</v>
      </c>
      <c r="AB515" s="1" t="s">
        <v>4</v>
      </c>
      <c r="AC515" s="1" t="s">
        <v>11</v>
      </c>
      <c r="AD515" s="1" t="s">
        <v>7</v>
      </c>
      <c r="AE515" s="1" t="s">
        <v>5</v>
      </c>
      <c r="AF515" s="1" t="s">
        <v>6</v>
      </c>
      <c r="AG515">
        <f t="shared" ref="AG515:AG578" si="35">IF(AND(Z515&gt;0,Z515&lt;7),AG514+1,0)</f>
        <v>0</v>
      </c>
    </row>
    <row r="516" spans="27:33" hidden="1" x14ac:dyDescent="0.25">
      <c r="AA516" t="s">
        <v>921</v>
      </c>
      <c r="AB516" s="1" t="s">
        <v>7</v>
      </c>
      <c r="AC516" s="1" t="s">
        <v>1</v>
      </c>
      <c r="AD516" s="1" t="s">
        <v>10</v>
      </c>
      <c r="AE516" s="1" t="s">
        <v>0</v>
      </c>
      <c r="AF516" s="1" t="s">
        <v>1</v>
      </c>
      <c r="AG516">
        <f t="shared" si="35"/>
        <v>0</v>
      </c>
    </row>
    <row r="517" spans="27:33" hidden="1" x14ac:dyDescent="0.25">
      <c r="AA517" t="s">
        <v>1463</v>
      </c>
      <c r="AB517" s="1" t="s">
        <v>3</v>
      </c>
      <c r="AC517" s="1" t="s">
        <v>11</v>
      </c>
      <c r="AD517" s="1" t="s">
        <v>7</v>
      </c>
      <c r="AE517" s="1" t="s">
        <v>1</v>
      </c>
      <c r="AF517" s="1" t="s">
        <v>1922</v>
      </c>
      <c r="AG517">
        <f t="shared" si="35"/>
        <v>0</v>
      </c>
    </row>
    <row r="518" spans="27:33" hidden="1" x14ac:dyDescent="0.25">
      <c r="AA518" t="s">
        <v>2126</v>
      </c>
      <c r="AB518" s="1" t="s">
        <v>9</v>
      </c>
      <c r="AC518" s="1" t="s">
        <v>10</v>
      </c>
      <c r="AD518" s="1" t="s">
        <v>15</v>
      </c>
      <c r="AE518" s="1" t="s">
        <v>10</v>
      </c>
      <c r="AF518" s="1" t="s">
        <v>6</v>
      </c>
      <c r="AG518">
        <f t="shared" si="35"/>
        <v>0</v>
      </c>
    </row>
    <row r="519" spans="27:33" hidden="1" x14ac:dyDescent="0.25">
      <c r="AA519" t="s">
        <v>1217</v>
      </c>
      <c r="AB519" s="1" t="s">
        <v>5</v>
      </c>
      <c r="AC519" s="1" t="s">
        <v>7</v>
      </c>
      <c r="AD519" s="1" t="s">
        <v>7</v>
      </c>
      <c r="AE519" s="1" t="s">
        <v>1</v>
      </c>
      <c r="AF519" s="1" t="s">
        <v>3</v>
      </c>
      <c r="AG519">
        <f t="shared" si="35"/>
        <v>0</v>
      </c>
    </row>
    <row r="520" spans="27:33" hidden="1" x14ac:dyDescent="0.25">
      <c r="AA520" t="s">
        <v>766</v>
      </c>
      <c r="AB520" s="1" t="s">
        <v>1921</v>
      </c>
      <c r="AC520" s="1" t="s">
        <v>3</v>
      </c>
      <c r="AD520" s="1" t="s">
        <v>11</v>
      </c>
      <c r="AE520" s="1" t="s">
        <v>0</v>
      </c>
      <c r="AF520" s="1" t="s">
        <v>1</v>
      </c>
      <c r="AG520">
        <f t="shared" si="35"/>
        <v>0</v>
      </c>
    </row>
    <row r="521" spans="27:33" hidden="1" x14ac:dyDescent="0.25">
      <c r="AA521" t="s">
        <v>996</v>
      </c>
      <c r="AB521" s="1" t="s">
        <v>7</v>
      </c>
      <c r="AC521" s="1" t="s">
        <v>8</v>
      </c>
      <c r="AD521" s="1" t="s">
        <v>6</v>
      </c>
      <c r="AE521" s="1" t="s">
        <v>11</v>
      </c>
      <c r="AF521" s="1" t="s">
        <v>2</v>
      </c>
      <c r="AG521">
        <f t="shared" si="35"/>
        <v>0</v>
      </c>
    </row>
    <row r="522" spans="27:33" hidden="1" x14ac:dyDescent="0.25">
      <c r="AA522" t="s">
        <v>1636</v>
      </c>
      <c r="AB522" s="1" t="s">
        <v>2</v>
      </c>
      <c r="AC522" s="1" t="s">
        <v>8</v>
      </c>
      <c r="AD522" s="1" t="s">
        <v>10</v>
      </c>
      <c r="AE522" s="1" t="s">
        <v>4</v>
      </c>
      <c r="AF522" s="1" t="s">
        <v>11</v>
      </c>
      <c r="AG522">
        <f t="shared" si="35"/>
        <v>0</v>
      </c>
    </row>
    <row r="523" spans="27:33" hidden="1" x14ac:dyDescent="0.25">
      <c r="AA523" t="s">
        <v>640</v>
      </c>
      <c r="AB523" s="1" t="s">
        <v>1920</v>
      </c>
      <c r="AC523" s="1" t="s">
        <v>10</v>
      </c>
      <c r="AD523" s="1" t="s">
        <v>0</v>
      </c>
      <c r="AE523" s="1" t="s">
        <v>1917</v>
      </c>
      <c r="AF523" s="1" t="s">
        <v>1</v>
      </c>
      <c r="AG523">
        <f t="shared" si="35"/>
        <v>0</v>
      </c>
    </row>
    <row r="524" spans="27:33" hidden="1" x14ac:dyDescent="0.25">
      <c r="AA524" t="s">
        <v>170</v>
      </c>
      <c r="AB524" s="1" t="s">
        <v>1914</v>
      </c>
      <c r="AC524" s="1" t="s">
        <v>1</v>
      </c>
      <c r="AD524" s="1" t="s">
        <v>6</v>
      </c>
      <c r="AE524" s="1" t="s">
        <v>0</v>
      </c>
      <c r="AF524" s="1" t="s">
        <v>1</v>
      </c>
      <c r="AG524">
        <f t="shared" si="35"/>
        <v>0</v>
      </c>
    </row>
    <row r="525" spans="27:33" hidden="1" x14ac:dyDescent="0.25">
      <c r="AA525" t="s">
        <v>1720</v>
      </c>
      <c r="AB525" s="1" t="s">
        <v>4</v>
      </c>
      <c r="AC525" s="1" t="s">
        <v>10</v>
      </c>
      <c r="AD525" s="1" t="s">
        <v>2</v>
      </c>
      <c r="AE525" s="1" t="s">
        <v>10</v>
      </c>
      <c r="AF525" s="1" t="s">
        <v>2</v>
      </c>
      <c r="AG525">
        <f t="shared" si="35"/>
        <v>0</v>
      </c>
    </row>
    <row r="526" spans="27:33" hidden="1" x14ac:dyDescent="0.25">
      <c r="AA526" t="s">
        <v>105</v>
      </c>
      <c r="AB526" s="1" t="s">
        <v>1</v>
      </c>
      <c r="AC526" s="1" t="s">
        <v>9</v>
      </c>
      <c r="AD526" s="1" t="s">
        <v>5</v>
      </c>
      <c r="AE526" s="1" t="s">
        <v>1918</v>
      </c>
      <c r="AF526" s="1" t="s">
        <v>5</v>
      </c>
      <c r="AG526">
        <f t="shared" si="35"/>
        <v>0</v>
      </c>
    </row>
    <row r="527" spans="27:33" hidden="1" x14ac:dyDescent="0.25">
      <c r="AA527" t="s">
        <v>1524</v>
      </c>
      <c r="AB527" s="1" t="s">
        <v>3</v>
      </c>
      <c r="AC527" s="1" t="s">
        <v>8</v>
      </c>
      <c r="AD527" s="1" t="s">
        <v>13</v>
      </c>
      <c r="AE527" s="1" t="s">
        <v>5</v>
      </c>
      <c r="AF527" s="1" t="s">
        <v>3</v>
      </c>
      <c r="AG527">
        <f t="shared" si="35"/>
        <v>0</v>
      </c>
    </row>
    <row r="528" spans="27:33" hidden="1" x14ac:dyDescent="0.25">
      <c r="AA528" t="s">
        <v>2276</v>
      </c>
      <c r="AB528" s="1" t="s">
        <v>1920</v>
      </c>
      <c r="AC528" s="1" t="s">
        <v>5</v>
      </c>
      <c r="AD528" s="1" t="s">
        <v>1921</v>
      </c>
      <c r="AE528" s="1" t="s">
        <v>5</v>
      </c>
      <c r="AF528" s="1" t="s">
        <v>6</v>
      </c>
      <c r="AG528">
        <f t="shared" si="35"/>
        <v>0</v>
      </c>
    </row>
    <row r="529" spans="27:33" hidden="1" x14ac:dyDescent="0.25">
      <c r="AA529" t="s">
        <v>62</v>
      </c>
      <c r="AB529" s="1" t="s">
        <v>1</v>
      </c>
      <c r="AC529" s="1" t="s">
        <v>7</v>
      </c>
      <c r="AD529" s="1" t="s">
        <v>10</v>
      </c>
      <c r="AE529" s="1" t="s">
        <v>1</v>
      </c>
      <c r="AF529" s="1" t="s">
        <v>2</v>
      </c>
      <c r="AG529">
        <f t="shared" si="35"/>
        <v>0</v>
      </c>
    </row>
    <row r="530" spans="27:33" hidden="1" x14ac:dyDescent="0.25">
      <c r="AA530" t="s">
        <v>2112</v>
      </c>
      <c r="AB530" s="1" t="s">
        <v>11</v>
      </c>
      <c r="AC530" s="1" t="s">
        <v>6</v>
      </c>
      <c r="AD530" s="1" t="s">
        <v>1919</v>
      </c>
      <c r="AE530" s="1" t="s">
        <v>10</v>
      </c>
      <c r="AF530" s="1" t="s">
        <v>5</v>
      </c>
      <c r="AG530">
        <f t="shared" si="35"/>
        <v>0</v>
      </c>
    </row>
    <row r="531" spans="27:33" hidden="1" x14ac:dyDescent="0.25">
      <c r="AA531" t="s">
        <v>620</v>
      </c>
      <c r="AB531" s="1" t="s">
        <v>1920</v>
      </c>
      <c r="AC531" s="1" t="s">
        <v>1</v>
      </c>
      <c r="AD531" s="1" t="s">
        <v>3</v>
      </c>
      <c r="AE531" s="1" t="s">
        <v>3</v>
      </c>
      <c r="AF531" s="1" t="s">
        <v>1</v>
      </c>
      <c r="AG531">
        <f t="shared" si="35"/>
        <v>0</v>
      </c>
    </row>
    <row r="532" spans="27:33" hidden="1" x14ac:dyDescent="0.25">
      <c r="AA532" t="s">
        <v>2028</v>
      </c>
      <c r="AB532" s="1" t="s">
        <v>1</v>
      </c>
      <c r="AC532" s="1" t="s">
        <v>6</v>
      </c>
      <c r="AD532" s="1" t="s">
        <v>1921</v>
      </c>
      <c r="AE532" s="1" t="s">
        <v>11</v>
      </c>
      <c r="AF532" s="1" t="s">
        <v>7</v>
      </c>
      <c r="AG532">
        <f t="shared" si="35"/>
        <v>0</v>
      </c>
    </row>
    <row r="533" spans="27:33" hidden="1" x14ac:dyDescent="0.25">
      <c r="AA533" t="s">
        <v>1833</v>
      </c>
      <c r="AB533" s="1" t="s">
        <v>1919</v>
      </c>
      <c r="AC533" s="1" t="s">
        <v>11</v>
      </c>
      <c r="AD533" s="1" t="s">
        <v>6</v>
      </c>
      <c r="AE533" s="1" t="s">
        <v>8</v>
      </c>
      <c r="AF533" s="1" t="s">
        <v>2</v>
      </c>
      <c r="AG533">
        <f t="shared" si="35"/>
        <v>0</v>
      </c>
    </row>
    <row r="534" spans="27:33" hidden="1" x14ac:dyDescent="0.25">
      <c r="AA534" t="s">
        <v>1035</v>
      </c>
      <c r="AB534" s="1" t="s">
        <v>13</v>
      </c>
      <c r="AC534" s="1" t="s">
        <v>1</v>
      </c>
      <c r="AD534" s="1" t="s">
        <v>3</v>
      </c>
      <c r="AE534" s="1" t="s">
        <v>11</v>
      </c>
      <c r="AF534" s="1" t="s">
        <v>5</v>
      </c>
      <c r="AG534">
        <f t="shared" si="35"/>
        <v>0</v>
      </c>
    </row>
    <row r="535" spans="27:33" hidden="1" x14ac:dyDescent="0.25">
      <c r="AA535" t="s">
        <v>1847</v>
      </c>
      <c r="AB535" s="1" t="s">
        <v>1919</v>
      </c>
      <c r="AC535" s="1" t="s">
        <v>10</v>
      </c>
      <c r="AD535" s="1" t="s">
        <v>1921</v>
      </c>
      <c r="AE535" s="1" t="s">
        <v>5</v>
      </c>
      <c r="AF535" s="1" t="s">
        <v>3</v>
      </c>
      <c r="AG535">
        <f t="shared" si="35"/>
        <v>0</v>
      </c>
    </row>
    <row r="536" spans="27:33" hidden="1" x14ac:dyDescent="0.25">
      <c r="AA536" t="s">
        <v>2119</v>
      </c>
      <c r="AB536" s="1" t="s">
        <v>3</v>
      </c>
      <c r="AC536" s="1" t="s">
        <v>5</v>
      </c>
      <c r="AD536" s="1" t="s">
        <v>1916</v>
      </c>
      <c r="AE536" s="1" t="s">
        <v>10</v>
      </c>
      <c r="AF536" s="1" t="s">
        <v>1</v>
      </c>
      <c r="AG536">
        <f t="shared" si="35"/>
        <v>0</v>
      </c>
    </row>
    <row r="537" spans="27:33" hidden="1" x14ac:dyDescent="0.25">
      <c r="AA537" t="s">
        <v>759</v>
      </c>
      <c r="AB537" s="1" t="s">
        <v>1921</v>
      </c>
      <c r="AC537" s="1" t="s">
        <v>3</v>
      </c>
      <c r="AD537" s="1" t="s">
        <v>1</v>
      </c>
      <c r="AE537" s="1" t="s">
        <v>9</v>
      </c>
      <c r="AF537" s="1" t="s">
        <v>1</v>
      </c>
      <c r="AG537">
        <f t="shared" si="35"/>
        <v>0</v>
      </c>
    </row>
    <row r="538" spans="27:33" hidden="1" x14ac:dyDescent="0.25">
      <c r="AA538" t="s">
        <v>2058</v>
      </c>
      <c r="AB538" s="1" t="s">
        <v>7</v>
      </c>
      <c r="AC538" s="1" t="s">
        <v>11</v>
      </c>
      <c r="AD538" s="1" t="s">
        <v>13</v>
      </c>
      <c r="AE538" s="1" t="s">
        <v>8</v>
      </c>
      <c r="AF538" s="1" t="s">
        <v>3</v>
      </c>
      <c r="AG538">
        <f t="shared" si="35"/>
        <v>0</v>
      </c>
    </row>
    <row r="539" spans="27:33" hidden="1" x14ac:dyDescent="0.25">
      <c r="AA539" t="s">
        <v>1338</v>
      </c>
      <c r="AB539" s="1" t="s">
        <v>9</v>
      </c>
      <c r="AC539" s="1" t="s">
        <v>10</v>
      </c>
      <c r="AD539" s="1" t="s">
        <v>2</v>
      </c>
      <c r="AE539" s="1" t="s">
        <v>1</v>
      </c>
      <c r="AF539" s="1" t="s">
        <v>3</v>
      </c>
      <c r="AG539">
        <f t="shared" si="35"/>
        <v>0</v>
      </c>
    </row>
    <row r="540" spans="27:33" hidden="1" x14ac:dyDescent="0.25">
      <c r="AA540" t="s">
        <v>346</v>
      </c>
      <c r="AB540" s="1" t="s">
        <v>0</v>
      </c>
      <c r="AC540" s="1" t="s">
        <v>1</v>
      </c>
      <c r="AD540" s="1" t="s">
        <v>8</v>
      </c>
      <c r="AE540" s="1" t="s">
        <v>2</v>
      </c>
      <c r="AF540" s="1" t="s">
        <v>1</v>
      </c>
      <c r="AG540">
        <f t="shared" si="35"/>
        <v>0</v>
      </c>
    </row>
    <row r="541" spans="27:33" hidden="1" x14ac:dyDescent="0.25">
      <c r="AA541" t="s">
        <v>1582</v>
      </c>
      <c r="AB541" s="1" t="s">
        <v>2</v>
      </c>
      <c r="AC541" s="1" t="s">
        <v>11</v>
      </c>
      <c r="AD541" s="1" t="s">
        <v>1922</v>
      </c>
      <c r="AE541" s="1" t="s">
        <v>4</v>
      </c>
      <c r="AF541" s="1" t="s">
        <v>1</v>
      </c>
      <c r="AG541">
        <f t="shared" si="35"/>
        <v>0</v>
      </c>
    </row>
    <row r="542" spans="27:33" hidden="1" x14ac:dyDescent="0.25">
      <c r="AA542" t="s">
        <v>1010</v>
      </c>
      <c r="AB542" s="1" t="s">
        <v>13</v>
      </c>
      <c r="AC542" s="1" t="s">
        <v>1</v>
      </c>
      <c r="AD542" s="1" t="s">
        <v>1921</v>
      </c>
      <c r="AE542" s="1" t="s">
        <v>3</v>
      </c>
      <c r="AF542" s="1" t="s">
        <v>1</v>
      </c>
      <c r="AG542">
        <f t="shared" si="35"/>
        <v>0</v>
      </c>
    </row>
    <row r="543" spans="27:33" hidden="1" x14ac:dyDescent="0.25">
      <c r="AA543" t="s">
        <v>991</v>
      </c>
      <c r="AB543" s="1" t="s">
        <v>7</v>
      </c>
      <c r="AC543" s="1" t="s">
        <v>8</v>
      </c>
      <c r="AD543" s="1" t="s">
        <v>0</v>
      </c>
      <c r="AE543" s="1" t="s">
        <v>10</v>
      </c>
      <c r="AF543" s="1" t="s">
        <v>3</v>
      </c>
      <c r="AG543">
        <f t="shared" si="35"/>
        <v>0</v>
      </c>
    </row>
    <row r="544" spans="27:33" hidden="1" x14ac:dyDescent="0.25">
      <c r="AA544" t="s">
        <v>2317</v>
      </c>
      <c r="AB544" s="1" t="s">
        <v>4</v>
      </c>
      <c r="AC544" s="1" t="s">
        <v>8</v>
      </c>
      <c r="AD544" s="1" t="s">
        <v>6</v>
      </c>
      <c r="AE544" s="1" t="s">
        <v>11</v>
      </c>
      <c r="AF544" s="1" t="s">
        <v>7</v>
      </c>
      <c r="AG544">
        <f t="shared" si="35"/>
        <v>0</v>
      </c>
    </row>
    <row r="545" spans="27:33" hidden="1" x14ac:dyDescent="0.25">
      <c r="AA545" t="s">
        <v>1230</v>
      </c>
      <c r="AB545" s="1" t="s">
        <v>5</v>
      </c>
      <c r="AC545" s="1" t="s">
        <v>3</v>
      </c>
      <c r="AD545" s="1" t="s">
        <v>6</v>
      </c>
      <c r="AE545" s="1" t="s">
        <v>1</v>
      </c>
      <c r="AF545" s="1" t="s">
        <v>3</v>
      </c>
      <c r="AG545">
        <f t="shared" si="35"/>
        <v>0</v>
      </c>
    </row>
    <row r="546" spans="27:33" hidden="1" x14ac:dyDescent="0.25">
      <c r="AA546" t="s">
        <v>2138</v>
      </c>
      <c r="AB546" s="1" t="s">
        <v>7</v>
      </c>
      <c r="AC546" s="1" t="s">
        <v>1</v>
      </c>
      <c r="AD546" s="1" t="s">
        <v>4</v>
      </c>
      <c r="AE546" s="1" t="s">
        <v>10</v>
      </c>
      <c r="AF546" s="1" t="s">
        <v>6</v>
      </c>
      <c r="AG546">
        <f t="shared" si="35"/>
        <v>0</v>
      </c>
    </row>
    <row r="547" spans="27:33" hidden="1" x14ac:dyDescent="0.25">
      <c r="AA547" t="s">
        <v>1584</v>
      </c>
      <c r="AB547" s="1" t="s">
        <v>2</v>
      </c>
      <c r="AC547" s="1" t="s">
        <v>1917</v>
      </c>
      <c r="AD547" s="1" t="s">
        <v>5</v>
      </c>
      <c r="AE547" s="1" t="s">
        <v>0</v>
      </c>
      <c r="AF547" s="1" t="s">
        <v>14</v>
      </c>
      <c r="AG547">
        <f t="shared" si="35"/>
        <v>0</v>
      </c>
    </row>
    <row r="548" spans="27:33" hidden="1" x14ac:dyDescent="0.25">
      <c r="AA548" t="s">
        <v>1737</v>
      </c>
      <c r="AB548" s="1" t="s">
        <v>4</v>
      </c>
      <c r="AC548" s="1" t="s">
        <v>5</v>
      </c>
      <c r="AD548" s="1" t="s">
        <v>3</v>
      </c>
      <c r="AE548" s="1" t="s">
        <v>10</v>
      </c>
      <c r="AF548" s="1" t="s">
        <v>7</v>
      </c>
      <c r="AG548">
        <f t="shared" si="35"/>
        <v>0</v>
      </c>
    </row>
    <row r="549" spans="27:33" hidden="1" x14ac:dyDescent="0.25">
      <c r="AA549" t="s">
        <v>31</v>
      </c>
      <c r="AB549" s="1" t="s">
        <v>1</v>
      </c>
      <c r="AC549" s="1" t="s">
        <v>0</v>
      </c>
      <c r="AD549" s="1" t="s">
        <v>5</v>
      </c>
      <c r="AE549" s="1" t="s">
        <v>2</v>
      </c>
      <c r="AF549" s="1" t="s">
        <v>5</v>
      </c>
      <c r="AG549">
        <f t="shared" si="35"/>
        <v>0</v>
      </c>
    </row>
    <row r="550" spans="27:33" hidden="1" x14ac:dyDescent="0.25">
      <c r="AA550" t="s">
        <v>351</v>
      </c>
      <c r="AB550" s="1" t="s">
        <v>0</v>
      </c>
      <c r="AC550" s="1" t="s">
        <v>11</v>
      </c>
      <c r="AD550" s="1" t="s">
        <v>1914</v>
      </c>
      <c r="AE550" s="1" t="s">
        <v>3</v>
      </c>
      <c r="AF550" s="1" t="s">
        <v>1</v>
      </c>
      <c r="AG550">
        <f t="shared" si="35"/>
        <v>0</v>
      </c>
    </row>
    <row r="551" spans="27:33" hidden="1" x14ac:dyDescent="0.25">
      <c r="AA551" t="s">
        <v>2278</v>
      </c>
      <c r="AB551" s="1" t="s">
        <v>9</v>
      </c>
      <c r="AC551" s="1" t="s">
        <v>10</v>
      </c>
      <c r="AD551" s="1" t="s">
        <v>1914</v>
      </c>
      <c r="AE551" s="1" t="s">
        <v>5</v>
      </c>
      <c r="AF551" s="1" t="s">
        <v>6</v>
      </c>
      <c r="AG551">
        <f t="shared" si="35"/>
        <v>0</v>
      </c>
    </row>
    <row r="552" spans="27:33" hidden="1" x14ac:dyDescent="0.25">
      <c r="AA552" t="s">
        <v>1980</v>
      </c>
      <c r="AB552" s="1" t="s">
        <v>9</v>
      </c>
      <c r="AC552" s="1" t="s">
        <v>1</v>
      </c>
      <c r="AD552" s="1" t="s">
        <v>6</v>
      </c>
      <c r="AE552" s="1" t="s">
        <v>11</v>
      </c>
      <c r="AF552" s="1" t="s">
        <v>2</v>
      </c>
      <c r="AG552">
        <f t="shared" si="35"/>
        <v>0</v>
      </c>
    </row>
    <row r="553" spans="27:33" hidden="1" x14ac:dyDescent="0.25">
      <c r="AA553" t="s">
        <v>749</v>
      </c>
      <c r="AB553" s="1" t="s">
        <v>1921</v>
      </c>
      <c r="AC553" s="1" t="s">
        <v>5</v>
      </c>
      <c r="AD553" s="1" t="s">
        <v>3</v>
      </c>
      <c r="AE553" s="1" t="s">
        <v>3</v>
      </c>
      <c r="AF553" s="1" t="s">
        <v>5</v>
      </c>
      <c r="AG553">
        <f t="shared" si="35"/>
        <v>0</v>
      </c>
    </row>
    <row r="554" spans="27:33" hidden="1" x14ac:dyDescent="0.25">
      <c r="AA554" t="s">
        <v>50</v>
      </c>
      <c r="AB554" s="1" t="s">
        <v>1</v>
      </c>
      <c r="AC554" s="1" t="s">
        <v>15</v>
      </c>
      <c r="AD554" s="1" t="s">
        <v>11</v>
      </c>
      <c r="AE554" s="1" t="s">
        <v>6</v>
      </c>
      <c r="AF554" s="1" t="s">
        <v>5</v>
      </c>
      <c r="AG554">
        <f t="shared" si="35"/>
        <v>0</v>
      </c>
    </row>
    <row r="555" spans="27:33" hidden="1" x14ac:dyDescent="0.25">
      <c r="AA555" t="s">
        <v>2282</v>
      </c>
      <c r="AB555" s="1" t="s">
        <v>3</v>
      </c>
      <c r="AC555" s="1" t="s">
        <v>1</v>
      </c>
      <c r="AD555" s="1" t="s">
        <v>12</v>
      </c>
      <c r="AE555" s="1" t="s">
        <v>5</v>
      </c>
      <c r="AF555" s="1" t="s">
        <v>6</v>
      </c>
      <c r="AG555">
        <f t="shared" si="35"/>
        <v>0</v>
      </c>
    </row>
    <row r="556" spans="27:33" hidden="1" x14ac:dyDescent="0.25">
      <c r="AA556" t="s">
        <v>1369</v>
      </c>
      <c r="AB556" s="1" t="s">
        <v>9</v>
      </c>
      <c r="AC556" s="1" t="s">
        <v>5</v>
      </c>
      <c r="AD556" s="1" t="s">
        <v>7</v>
      </c>
      <c r="AE556" s="1" t="s">
        <v>0</v>
      </c>
      <c r="AF556" s="1" t="s">
        <v>1</v>
      </c>
      <c r="AG556">
        <f t="shared" si="35"/>
        <v>0</v>
      </c>
    </row>
    <row r="557" spans="27:33" hidden="1" x14ac:dyDescent="0.25">
      <c r="AA557" t="s">
        <v>445</v>
      </c>
      <c r="AB557" s="1" t="s">
        <v>0</v>
      </c>
      <c r="AC557" s="1" t="s">
        <v>5</v>
      </c>
      <c r="AD557" s="1" t="s">
        <v>13</v>
      </c>
      <c r="AE557" s="1" t="s">
        <v>1914</v>
      </c>
      <c r="AF557" s="1" t="s">
        <v>5</v>
      </c>
      <c r="AG557">
        <f t="shared" si="35"/>
        <v>0</v>
      </c>
    </row>
    <row r="558" spans="27:33" hidden="1" x14ac:dyDescent="0.25">
      <c r="AA558" t="s">
        <v>2072</v>
      </c>
      <c r="AB558" s="1" t="s">
        <v>1</v>
      </c>
      <c r="AC558" s="1" t="s">
        <v>11</v>
      </c>
      <c r="AD558" s="1" t="s">
        <v>3</v>
      </c>
      <c r="AE558" s="1" t="s">
        <v>11</v>
      </c>
      <c r="AF558" s="1" t="s">
        <v>1</v>
      </c>
      <c r="AG558">
        <f t="shared" si="35"/>
        <v>0</v>
      </c>
    </row>
    <row r="559" spans="27:33" hidden="1" x14ac:dyDescent="0.25">
      <c r="AA559" t="s">
        <v>1697</v>
      </c>
      <c r="AB559" s="1" t="s">
        <v>4</v>
      </c>
      <c r="AC559" s="1" t="s">
        <v>11</v>
      </c>
      <c r="AD559" s="1" t="s">
        <v>3</v>
      </c>
      <c r="AE559" s="1" t="s">
        <v>13</v>
      </c>
      <c r="AF559" s="1" t="s">
        <v>1</v>
      </c>
      <c r="AG559">
        <f t="shared" si="35"/>
        <v>0</v>
      </c>
    </row>
    <row r="560" spans="27:33" hidden="1" x14ac:dyDescent="0.25">
      <c r="AA560" t="s">
        <v>1093</v>
      </c>
      <c r="AB560" s="1" t="s">
        <v>13</v>
      </c>
      <c r="AC560" s="1" t="s">
        <v>5</v>
      </c>
      <c r="AD560" s="1" t="s">
        <v>0</v>
      </c>
      <c r="AE560" s="1" t="s">
        <v>1917</v>
      </c>
      <c r="AF560" s="1" t="s">
        <v>1</v>
      </c>
      <c r="AG560">
        <f t="shared" si="35"/>
        <v>0</v>
      </c>
    </row>
    <row r="561" spans="27:33" hidden="1" x14ac:dyDescent="0.25">
      <c r="AA561" t="s">
        <v>495</v>
      </c>
      <c r="AB561" s="1" t="s">
        <v>0</v>
      </c>
      <c r="AC561" s="1" t="s">
        <v>8</v>
      </c>
      <c r="AD561" s="1" t="s">
        <v>3</v>
      </c>
      <c r="AE561" s="1" t="s">
        <v>1915</v>
      </c>
      <c r="AF561" s="1" t="s">
        <v>1</v>
      </c>
      <c r="AG561">
        <f t="shared" si="35"/>
        <v>0</v>
      </c>
    </row>
    <row r="562" spans="27:33" hidden="1" x14ac:dyDescent="0.25">
      <c r="AA562" t="s">
        <v>2004</v>
      </c>
      <c r="AB562" s="1" t="s">
        <v>1917</v>
      </c>
      <c r="AC562" s="1" t="s">
        <v>1</v>
      </c>
      <c r="AD562" s="1" t="s">
        <v>1914</v>
      </c>
      <c r="AE562" s="1" t="s">
        <v>10</v>
      </c>
      <c r="AF562" s="1" t="s">
        <v>7</v>
      </c>
      <c r="AG562">
        <f t="shared" si="35"/>
        <v>0</v>
      </c>
    </row>
    <row r="563" spans="27:33" hidden="1" x14ac:dyDescent="0.25">
      <c r="AA563" t="s">
        <v>101</v>
      </c>
      <c r="AB563" s="1" t="s">
        <v>1</v>
      </c>
      <c r="AC563" s="1" t="s">
        <v>9</v>
      </c>
      <c r="AD563" s="1" t="s">
        <v>11</v>
      </c>
      <c r="AE563" s="1" t="s">
        <v>3</v>
      </c>
      <c r="AF563" s="1" t="s">
        <v>5</v>
      </c>
      <c r="AG563">
        <f t="shared" si="35"/>
        <v>0</v>
      </c>
    </row>
    <row r="564" spans="27:33" hidden="1" x14ac:dyDescent="0.25">
      <c r="AA564" t="s">
        <v>1587</v>
      </c>
      <c r="AB564" s="1" t="s">
        <v>2</v>
      </c>
      <c r="AC564" s="1" t="s">
        <v>10</v>
      </c>
      <c r="AD564" s="1" t="s">
        <v>11</v>
      </c>
      <c r="AE564" s="1" t="s">
        <v>2</v>
      </c>
      <c r="AF564" s="1" t="s">
        <v>1</v>
      </c>
      <c r="AG564">
        <f t="shared" si="35"/>
        <v>0</v>
      </c>
    </row>
    <row r="565" spans="27:33" hidden="1" x14ac:dyDescent="0.25">
      <c r="AA565" t="s">
        <v>635</v>
      </c>
      <c r="AB565" s="1" t="s">
        <v>1920</v>
      </c>
      <c r="AC565" s="1" t="s">
        <v>11</v>
      </c>
      <c r="AD565" s="1" t="s">
        <v>4</v>
      </c>
      <c r="AE565" s="1" t="s">
        <v>1</v>
      </c>
      <c r="AF565" s="1" t="s">
        <v>7</v>
      </c>
      <c r="AG565">
        <f t="shared" si="35"/>
        <v>0</v>
      </c>
    </row>
    <row r="566" spans="27:33" hidden="1" x14ac:dyDescent="0.25">
      <c r="AA566" t="s">
        <v>2229</v>
      </c>
      <c r="AB566" s="1" t="s">
        <v>1921</v>
      </c>
      <c r="AC566" s="1" t="s">
        <v>1</v>
      </c>
      <c r="AD566" s="1" t="s">
        <v>0</v>
      </c>
      <c r="AE566" s="1" t="s">
        <v>1917</v>
      </c>
      <c r="AF566" s="1" t="s">
        <v>5</v>
      </c>
      <c r="AG566">
        <f t="shared" si="35"/>
        <v>0</v>
      </c>
    </row>
    <row r="567" spans="27:33" hidden="1" x14ac:dyDescent="0.25">
      <c r="AA567" t="s">
        <v>1314</v>
      </c>
      <c r="AB567" s="1" t="s">
        <v>9</v>
      </c>
      <c r="AC567" s="1" t="s">
        <v>11</v>
      </c>
      <c r="AD567" s="1" t="s">
        <v>3</v>
      </c>
      <c r="AE567" s="1" t="s">
        <v>3</v>
      </c>
      <c r="AF567" s="1" t="s">
        <v>5</v>
      </c>
      <c r="AG567">
        <f t="shared" si="35"/>
        <v>0</v>
      </c>
    </row>
    <row r="568" spans="27:33" hidden="1" x14ac:dyDescent="0.25">
      <c r="AA568" t="s">
        <v>36</v>
      </c>
      <c r="AB568" s="1" t="s">
        <v>1</v>
      </c>
      <c r="AC568" s="1" t="s">
        <v>1920</v>
      </c>
      <c r="AD568" s="1" t="s">
        <v>11</v>
      </c>
      <c r="AE568" s="1" t="s">
        <v>1</v>
      </c>
      <c r="AF568" s="1" t="s">
        <v>3</v>
      </c>
      <c r="AG568">
        <f t="shared" si="35"/>
        <v>0</v>
      </c>
    </row>
    <row r="569" spans="27:33" hidden="1" x14ac:dyDescent="0.25">
      <c r="AA569" t="s">
        <v>1152</v>
      </c>
      <c r="AB569" s="1" t="s">
        <v>6</v>
      </c>
      <c r="AC569" s="1" t="s">
        <v>1</v>
      </c>
      <c r="AD569" s="1" t="s">
        <v>4</v>
      </c>
      <c r="AE569" s="1" t="s">
        <v>1</v>
      </c>
      <c r="AF569" s="1" t="s">
        <v>7</v>
      </c>
      <c r="AG569">
        <f t="shared" si="35"/>
        <v>0</v>
      </c>
    </row>
    <row r="570" spans="27:33" hidden="1" x14ac:dyDescent="0.25">
      <c r="AA570" t="s">
        <v>2057</v>
      </c>
      <c r="AB570" s="1" t="s">
        <v>0</v>
      </c>
      <c r="AC570" s="1" t="s">
        <v>11</v>
      </c>
      <c r="AD570" s="1" t="s">
        <v>6</v>
      </c>
      <c r="AE570" s="1" t="s">
        <v>10</v>
      </c>
      <c r="AF570" s="1" t="s">
        <v>4</v>
      </c>
      <c r="AG570">
        <f t="shared" si="35"/>
        <v>0</v>
      </c>
    </row>
    <row r="571" spans="27:33" hidden="1" x14ac:dyDescent="0.25">
      <c r="AA571" t="s">
        <v>2163</v>
      </c>
      <c r="AB571" s="1" t="s">
        <v>1919</v>
      </c>
      <c r="AC571" s="1" t="s">
        <v>1</v>
      </c>
      <c r="AD571" s="1" t="s">
        <v>0</v>
      </c>
      <c r="AE571" s="1" t="s">
        <v>10</v>
      </c>
      <c r="AF571" s="1" t="s">
        <v>5</v>
      </c>
      <c r="AG571">
        <f t="shared" si="35"/>
        <v>0</v>
      </c>
    </row>
    <row r="572" spans="27:33" hidden="1" x14ac:dyDescent="0.25">
      <c r="AA572" t="s">
        <v>681</v>
      </c>
      <c r="AB572" s="1" t="s">
        <v>1920</v>
      </c>
      <c r="AC572" s="1" t="s">
        <v>5</v>
      </c>
      <c r="AD572" s="1" t="s">
        <v>3</v>
      </c>
      <c r="AE572" s="1" t="s">
        <v>13</v>
      </c>
      <c r="AF572" s="1" t="s">
        <v>1</v>
      </c>
      <c r="AG572">
        <f t="shared" si="35"/>
        <v>0</v>
      </c>
    </row>
    <row r="573" spans="27:33" hidden="1" x14ac:dyDescent="0.25">
      <c r="AA573" t="s">
        <v>643</v>
      </c>
      <c r="AB573" s="1" t="s">
        <v>1920</v>
      </c>
      <c r="AC573" s="1" t="s">
        <v>10</v>
      </c>
      <c r="AD573" s="1" t="s">
        <v>11</v>
      </c>
      <c r="AE573" s="1" t="s">
        <v>3</v>
      </c>
      <c r="AF573" s="1" t="s">
        <v>1</v>
      </c>
      <c r="AG573">
        <f t="shared" si="35"/>
        <v>0</v>
      </c>
    </row>
    <row r="574" spans="27:33" hidden="1" x14ac:dyDescent="0.25">
      <c r="AA574" t="s">
        <v>1492</v>
      </c>
      <c r="AB574" s="1" t="s">
        <v>3</v>
      </c>
      <c r="AC574" s="1" t="s">
        <v>5</v>
      </c>
      <c r="AD574" s="1" t="s">
        <v>1915</v>
      </c>
      <c r="AE574" s="1" t="s">
        <v>1</v>
      </c>
      <c r="AF574" s="1" t="s">
        <v>3</v>
      </c>
      <c r="AG574">
        <f t="shared" si="35"/>
        <v>0</v>
      </c>
    </row>
    <row r="575" spans="27:33" hidden="1" x14ac:dyDescent="0.25">
      <c r="AA575" t="s">
        <v>1472</v>
      </c>
      <c r="AB575" s="1" t="s">
        <v>3</v>
      </c>
      <c r="AC575" s="1" t="s">
        <v>11</v>
      </c>
      <c r="AD575" s="1" t="s">
        <v>2</v>
      </c>
      <c r="AE575" s="1" t="s">
        <v>4</v>
      </c>
      <c r="AF575" s="1" t="s">
        <v>1</v>
      </c>
      <c r="AG575">
        <f t="shared" si="35"/>
        <v>0</v>
      </c>
    </row>
    <row r="576" spans="27:33" hidden="1" x14ac:dyDescent="0.25">
      <c r="AA576" t="s">
        <v>1057</v>
      </c>
      <c r="AB576" s="1" t="s">
        <v>13</v>
      </c>
      <c r="AC576" s="1" t="s">
        <v>11</v>
      </c>
      <c r="AD576" s="1" t="s">
        <v>6</v>
      </c>
      <c r="AE576" s="1" t="s">
        <v>1915</v>
      </c>
      <c r="AF576" s="1" t="s">
        <v>1</v>
      </c>
      <c r="AG576">
        <f t="shared" si="35"/>
        <v>0</v>
      </c>
    </row>
    <row r="577" spans="27:33" hidden="1" x14ac:dyDescent="0.25">
      <c r="AA577" t="s">
        <v>693</v>
      </c>
      <c r="AB577" s="1" t="s">
        <v>1920</v>
      </c>
      <c r="AC577" s="1" t="s">
        <v>3</v>
      </c>
      <c r="AD577" s="1" t="s">
        <v>8</v>
      </c>
      <c r="AE577" s="1" t="s">
        <v>4</v>
      </c>
      <c r="AF577" s="1" t="s">
        <v>5</v>
      </c>
      <c r="AG577">
        <f t="shared" si="35"/>
        <v>0</v>
      </c>
    </row>
    <row r="578" spans="27:33" hidden="1" x14ac:dyDescent="0.25">
      <c r="AA578" t="s">
        <v>1638</v>
      </c>
      <c r="AB578" s="1" t="s">
        <v>2</v>
      </c>
      <c r="AC578" s="1" t="s">
        <v>8</v>
      </c>
      <c r="AD578" s="1" t="s">
        <v>13</v>
      </c>
      <c r="AE578" s="1" t="s">
        <v>10</v>
      </c>
      <c r="AF578" s="1" t="s">
        <v>3</v>
      </c>
      <c r="AG578">
        <f t="shared" si="35"/>
        <v>0</v>
      </c>
    </row>
    <row r="579" spans="27:33" hidden="1" x14ac:dyDescent="0.25">
      <c r="AA579" t="s">
        <v>436</v>
      </c>
      <c r="AB579" s="1" t="s">
        <v>0</v>
      </c>
      <c r="AC579" s="1" t="s">
        <v>5</v>
      </c>
      <c r="AD579" s="1" t="s">
        <v>1921</v>
      </c>
      <c r="AE579" s="1" t="s">
        <v>11</v>
      </c>
      <c r="AF579" s="1" t="s">
        <v>3</v>
      </c>
      <c r="AG579">
        <f t="shared" ref="AG579:AG642" si="36">IF(AND(Z579&gt;0,Z579&lt;7),AG578+1,0)</f>
        <v>0</v>
      </c>
    </row>
    <row r="580" spans="27:33" hidden="1" x14ac:dyDescent="0.25">
      <c r="AA580" t="s">
        <v>1118</v>
      </c>
      <c r="AB580" s="1" t="s">
        <v>13</v>
      </c>
      <c r="AC580" s="1" t="s">
        <v>5</v>
      </c>
      <c r="AD580" s="1" t="s">
        <v>1919</v>
      </c>
      <c r="AE580" s="1" t="s">
        <v>11</v>
      </c>
      <c r="AF580" s="1" t="s">
        <v>3</v>
      </c>
      <c r="AG580">
        <f t="shared" si="36"/>
        <v>0</v>
      </c>
    </row>
    <row r="581" spans="27:33" hidden="1" x14ac:dyDescent="0.25">
      <c r="AA581" t="s">
        <v>1522</v>
      </c>
      <c r="AB581" s="1" t="s">
        <v>3</v>
      </c>
      <c r="AC581" s="1" t="s">
        <v>8</v>
      </c>
      <c r="AD581" s="1" t="s">
        <v>13</v>
      </c>
      <c r="AE581" s="1" t="s">
        <v>1914</v>
      </c>
      <c r="AF581" s="1" t="s">
        <v>1</v>
      </c>
      <c r="AG581">
        <f t="shared" si="36"/>
        <v>0</v>
      </c>
    </row>
    <row r="582" spans="27:33" hidden="1" x14ac:dyDescent="0.25">
      <c r="AA582" t="s">
        <v>1104</v>
      </c>
      <c r="AB582" s="1" t="s">
        <v>13</v>
      </c>
      <c r="AC582" s="1" t="s">
        <v>5</v>
      </c>
      <c r="AD582" s="1" t="s">
        <v>6</v>
      </c>
      <c r="AE582" s="1" t="s">
        <v>1915</v>
      </c>
      <c r="AF582" s="1" t="s">
        <v>1</v>
      </c>
      <c r="AG582">
        <f t="shared" si="36"/>
        <v>0</v>
      </c>
    </row>
    <row r="583" spans="27:33" hidden="1" x14ac:dyDescent="0.25">
      <c r="AA583" t="s">
        <v>238</v>
      </c>
      <c r="AB583" s="1" t="s">
        <v>1914</v>
      </c>
      <c r="AC583" s="1" t="s">
        <v>5</v>
      </c>
      <c r="AD583" s="1" t="s">
        <v>4</v>
      </c>
      <c r="AE583" s="1" t="s">
        <v>1</v>
      </c>
      <c r="AF583" s="1" t="s">
        <v>3</v>
      </c>
      <c r="AG583">
        <f t="shared" si="36"/>
        <v>0</v>
      </c>
    </row>
    <row r="584" spans="27:33" hidden="1" x14ac:dyDescent="0.25">
      <c r="AA584" t="s">
        <v>507</v>
      </c>
      <c r="AB584" s="1" t="s">
        <v>1915</v>
      </c>
      <c r="AC584" s="1" t="s">
        <v>1</v>
      </c>
      <c r="AD584" s="1" t="s">
        <v>0</v>
      </c>
      <c r="AE584" s="1" t="s">
        <v>1917</v>
      </c>
      <c r="AF584" s="1" t="s">
        <v>1</v>
      </c>
      <c r="AG584">
        <f t="shared" si="36"/>
        <v>0</v>
      </c>
    </row>
    <row r="585" spans="27:33" hidden="1" x14ac:dyDescent="0.25">
      <c r="AA585" t="s">
        <v>1519</v>
      </c>
      <c r="AB585" s="1" t="s">
        <v>3</v>
      </c>
      <c r="AC585" s="1" t="s">
        <v>8</v>
      </c>
      <c r="AD585" s="1" t="s">
        <v>10</v>
      </c>
      <c r="AE585" s="1" t="s">
        <v>1915</v>
      </c>
      <c r="AF585" s="1" t="s">
        <v>5</v>
      </c>
      <c r="AG585">
        <f t="shared" si="36"/>
        <v>0</v>
      </c>
    </row>
    <row r="586" spans="27:33" hidden="1" x14ac:dyDescent="0.25">
      <c r="AA586" t="s">
        <v>279</v>
      </c>
      <c r="AB586" s="1" t="s">
        <v>1914</v>
      </c>
      <c r="AC586" s="1" t="s">
        <v>8</v>
      </c>
      <c r="AD586" s="1" t="s">
        <v>3</v>
      </c>
      <c r="AE586" s="1" t="s">
        <v>7</v>
      </c>
      <c r="AF586" s="1" t="s">
        <v>1</v>
      </c>
      <c r="AG586">
        <f t="shared" si="36"/>
        <v>0</v>
      </c>
    </row>
    <row r="587" spans="27:33" hidden="1" x14ac:dyDescent="0.25">
      <c r="AA587" t="s">
        <v>143</v>
      </c>
      <c r="AB587" s="1" t="s">
        <v>1</v>
      </c>
      <c r="AC587" s="1" t="s">
        <v>1919</v>
      </c>
      <c r="AD587" s="1" t="s">
        <v>1</v>
      </c>
      <c r="AE587" s="1" t="s">
        <v>3</v>
      </c>
      <c r="AF587" s="1" t="s">
        <v>1</v>
      </c>
      <c r="AG587">
        <f t="shared" si="36"/>
        <v>0</v>
      </c>
    </row>
    <row r="588" spans="27:33" hidden="1" x14ac:dyDescent="0.25">
      <c r="AA588" t="s">
        <v>1984</v>
      </c>
      <c r="AB588" s="1" t="s">
        <v>1915</v>
      </c>
      <c r="AC588" s="1" t="s">
        <v>11</v>
      </c>
      <c r="AD588" s="1" t="s">
        <v>13</v>
      </c>
      <c r="AE588" s="1" t="s">
        <v>1</v>
      </c>
      <c r="AF588" s="1" t="s">
        <v>2</v>
      </c>
      <c r="AG588">
        <f t="shared" si="36"/>
        <v>0</v>
      </c>
    </row>
    <row r="589" spans="27:33" hidden="1" x14ac:dyDescent="0.25">
      <c r="AA589" t="s">
        <v>2173</v>
      </c>
      <c r="AB589" s="1" t="s">
        <v>13</v>
      </c>
      <c r="AC589" s="1" t="s">
        <v>8</v>
      </c>
      <c r="AD589" s="1" t="s">
        <v>1916</v>
      </c>
      <c r="AE589" s="1" t="s">
        <v>5</v>
      </c>
      <c r="AF589" s="1" t="s">
        <v>6</v>
      </c>
      <c r="AG589">
        <f t="shared" si="36"/>
        <v>0</v>
      </c>
    </row>
    <row r="590" spans="27:33" hidden="1" x14ac:dyDescent="0.25">
      <c r="AA590" t="s">
        <v>1716</v>
      </c>
      <c r="AB590" s="1" t="s">
        <v>4</v>
      </c>
      <c r="AC590" s="1" t="s">
        <v>10</v>
      </c>
      <c r="AD590" s="1" t="s">
        <v>6</v>
      </c>
      <c r="AE590" s="1" t="s">
        <v>4</v>
      </c>
      <c r="AF590" s="1" t="s">
        <v>1</v>
      </c>
      <c r="AG590">
        <f t="shared" si="36"/>
        <v>0</v>
      </c>
    </row>
    <row r="591" spans="27:33" hidden="1" x14ac:dyDescent="0.25">
      <c r="AA591" t="s">
        <v>1004</v>
      </c>
      <c r="AB591" s="1" t="s">
        <v>13</v>
      </c>
      <c r="AC591" s="1" t="s">
        <v>1</v>
      </c>
      <c r="AD591" s="1" t="s">
        <v>11</v>
      </c>
      <c r="AE591" s="1" t="s">
        <v>2</v>
      </c>
      <c r="AF591" s="1" t="s">
        <v>11</v>
      </c>
      <c r="AG591">
        <f t="shared" si="36"/>
        <v>0</v>
      </c>
    </row>
    <row r="592" spans="27:33" hidden="1" x14ac:dyDescent="0.25">
      <c r="AA592" t="s">
        <v>2304</v>
      </c>
      <c r="AB592" s="1" t="s">
        <v>2</v>
      </c>
      <c r="AC592" s="1" t="s">
        <v>8</v>
      </c>
      <c r="AD592" s="1" t="s">
        <v>9</v>
      </c>
      <c r="AE592" s="1" t="s">
        <v>11</v>
      </c>
      <c r="AF592" s="1" t="s">
        <v>3</v>
      </c>
      <c r="AG592">
        <f t="shared" si="36"/>
        <v>0</v>
      </c>
    </row>
    <row r="593" spans="27:33" hidden="1" x14ac:dyDescent="0.25">
      <c r="AA593" t="s">
        <v>1372</v>
      </c>
      <c r="AB593" s="1" t="s">
        <v>9</v>
      </c>
      <c r="AC593" s="1" t="s">
        <v>5</v>
      </c>
      <c r="AD593" s="1" t="s">
        <v>7</v>
      </c>
      <c r="AE593" s="1" t="s">
        <v>10</v>
      </c>
      <c r="AF593" s="1" t="s">
        <v>5</v>
      </c>
      <c r="AG593">
        <f t="shared" si="36"/>
        <v>0</v>
      </c>
    </row>
    <row r="594" spans="27:33" hidden="1" x14ac:dyDescent="0.25">
      <c r="AA594" t="s">
        <v>1854</v>
      </c>
      <c r="AB594" s="1" t="s">
        <v>1919</v>
      </c>
      <c r="AC594" s="1" t="s">
        <v>10</v>
      </c>
      <c r="AD594" s="1" t="s">
        <v>3</v>
      </c>
      <c r="AE594" s="1" t="s">
        <v>10</v>
      </c>
      <c r="AF594" s="1" t="s">
        <v>7</v>
      </c>
      <c r="AG594">
        <f t="shared" si="36"/>
        <v>0</v>
      </c>
    </row>
    <row r="595" spans="27:33" hidden="1" x14ac:dyDescent="0.25">
      <c r="AA595" t="s">
        <v>1912</v>
      </c>
      <c r="AB595" s="1" t="s">
        <v>12</v>
      </c>
      <c r="AC595" s="1" t="s">
        <v>8</v>
      </c>
      <c r="AD595" s="1" t="s">
        <v>3</v>
      </c>
      <c r="AE595" s="1" t="s">
        <v>1915</v>
      </c>
      <c r="AF595" s="1" t="s">
        <v>5</v>
      </c>
      <c r="AG595">
        <f t="shared" si="36"/>
        <v>0</v>
      </c>
    </row>
    <row r="596" spans="27:33" hidden="1" x14ac:dyDescent="0.25">
      <c r="AA596" t="s">
        <v>1094</v>
      </c>
      <c r="AB596" s="1" t="s">
        <v>13</v>
      </c>
      <c r="AC596" s="1" t="s">
        <v>5</v>
      </c>
      <c r="AD596" s="1" t="s">
        <v>0</v>
      </c>
      <c r="AE596" s="1" t="s">
        <v>1917</v>
      </c>
      <c r="AF596" s="1" t="s">
        <v>11</v>
      </c>
      <c r="AG596">
        <f t="shared" si="36"/>
        <v>0</v>
      </c>
    </row>
    <row r="597" spans="27:33" hidden="1" x14ac:dyDescent="0.25">
      <c r="AA597" t="s">
        <v>485</v>
      </c>
      <c r="AB597" s="1" t="s">
        <v>0</v>
      </c>
      <c r="AC597" s="1" t="s">
        <v>8</v>
      </c>
      <c r="AD597" s="1" t="s">
        <v>1</v>
      </c>
      <c r="AE597" s="1" t="s">
        <v>3</v>
      </c>
      <c r="AF597" s="1" t="s">
        <v>14</v>
      </c>
      <c r="AG597">
        <f t="shared" si="36"/>
        <v>0</v>
      </c>
    </row>
    <row r="598" spans="27:33" hidden="1" x14ac:dyDescent="0.25">
      <c r="AA598" t="s">
        <v>1770</v>
      </c>
      <c r="AB598" s="1" t="s">
        <v>4</v>
      </c>
      <c r="AC598" s="1" t="s">
        <v>3</v>
      </c>
      <c r="AD598" s="1" t="s">
        <v>5</v>
      </c>
      <c r="AE598" s="1" t="s">
        <v>7</v>
      </c>
      <c r="AF598" s="1" t="s">
        <v>1</v>
      </c>
      <c r="AG598">
        <f t="shared" si="36"/>
        <v>0</v>
      </c>
    </row>
    <row r="599" spans="27:33" hidden="1" x14ac:dyDescent="0.25">
      <c r="AA599" t="s">
        <v>649</v>
      </c>
      <c r="AB599" s="1" t="s">
        <v>1920</v>
      </c>
      <c r="AC599" s="1" t="s">
        <v>10</v>
      </c>
      <c r="AD599" s="1" t="s">
        <v>6</v>
      </c>
      <c r="AE599" s="1" t="s">
        <v>0</v>
      </c>
      <c r="AF599" s="1" t="s">
        <v>1</v>
      </c>
      <c r="AG599">
        <f t="shared" si="36"/>
        <v>0</v>
      </c>
    </row>
    <row r="600" spans="27:33" hidden="1" x14ac:dyDescent="0.25">
      <c r="AA600" t="s">
        <v>542</v>
      </c>
      <c r="AB600" s="1" t="s">
        <v>1915</v>
      </c>
      <c r="AC600" s="1" t="s">
        <v>5</v>
      </c>
      <c r="AD600" s="1" t="s">
        <v>0</v>
      </c>
      <c r="AE600" s="1" t="s">
        <v>4</v>
      </c>
      <c r="AF600" s="1" t="s">
        <v>5</v>
      </c>
      <c r="AG600">
        <f t="shared" si="36"/>
        <v>0</v>
      </c>
    </row>
    <row r="601" spans="27:33" hidden="1" x14ac:dyDescent="0.25">
      <c r="AA601" t="s">
        <v>1277</v>
      </c>
      <c r="AB601" s="1" t="s">
        <v>9</v>
      </c>
      <c r="AC601" s="1" t="s">
        <v>1</v>
      </c>
      <c r="AD601" s="1" t="s">
        <v>3</v>
      </c>
      <c r="AE601" s="1" t="s">
        <v>4</v>
      </c>
      <c r="AF601" s="1" t="s">
        <v>11</v>
      </c>
      <c r="AG601">
        <f t="shared" si="36"/>
        <v>0</v>
      </c>
    </row>
    <row r="602" spans="27:33" hidden="1" x14ac:dyDescent="0.25">
      <c r="AA602" t="s">
        <v>977</v>
      </c>
      <c r="AB602" s="1" t="s">
        <v>7</v>
      </c>
      <c r="AC602" s="1" t="s">
        <v>7</v>
      </c>
      <c r="AD602" s="1" t="s">
        <v>1</v>
      </c>
      <c r="AE602" s="1" t="s">
        <v>13</v>
      </c>
      <c r="AF602" s="1" t="s">
        <v>1</v>
      </c>
      <c r="AG602">
        <f t="shared" si="36"/>
        <v>0</v>
      </c>
    </row>
    <row r="603" spans="27:33" hidden="1" x14ac:dyDescent="0.25">
      <c r="AA603" t="s">
        <v>2034</v>
      </c>
      <c r="AB603" s="1" t="s">
        <v>1923</v>
      </c>
      <c r="AC603" s="1" t="s">
        <v>8</v>
      </c>
      <c r="AD603" s="1" t="s">
        <v>10</v>
      </c>
      <c r="AE603" s="1" t="s">
        <v>12</v>
      </c>
      <c r="AF603" s="1" t="s">
        <v>1</v>
      </c>
      <c r="AG603">
        <f t="shared" si="36"/>
        <v>0</v>
      </c>
    </row>
    <row r="604" spans="27:33" hidden="1" x14ac:dyDescent="0.25">
      <c r="AA604" t="s">
        <v>1800</v>
      </c>
      <c r="AB604" s="1" t="s">
        <v>8</v>
      </c>
      <c r="AC604" s="1" t="s">
        <v>2</v>
      </c>
      <c r="AD604" s="1" t="s">
        <v>1</v>
      </c>
      <c r="AE604" s="1" t="s">
        <v>1915</v>
      </c>
      <c r="AF604" s="1" t="s">
        <v>1</v>
      </c>
      <c r="AG604">
        <f t="shared" si="36"/>
        <v>0</v>
      </c>
    </row>
    <row r="605" spans="27:33" hidden="1" x14ac:dyDescent="0.25">
      <c r="AA605" t="s">
        <v>1200</v>
      </c>
      <c r="AB605" s="1" t="s">
        <v>5</v>
      </c>
      <c r="AC605" s="1" t="s">
        <v>1914</v>
      </c>
      <c r="AD605" s="1" t="s">
        <v>3</v>
      </c>
      <c r="AE605" s="1" t="s">
        <v>1</v>
      </c>
      <c r="AF605" s="1" t="s">
        <v>3</v>
      </c>
      <c r="AG605">
        <f t="shared" si="36"/>
        <v>0</v>
      </c>
    </row>
    <row r="606" spans="27:33" hidden="1" x14ac:dyDescent="0.25">
      <c r="AA606" t="s">
        <v>2165</v>
      </c>
      <c r="AB606" s="1" t="s">
        <v>2</v>
      </c>
      <c r="AC606" s="1" t="s">
        <v>1</v>
      </c>
      <c r="AD606" s="1" t="s">
        <v>8</v>
      </c>
      <c r="AE606" s="1" t="s">
        <v>1915</v>
      </c>
      <c r="AF606" s="1" t="s">
        <v>10</v>
      </c>
      <c r="AG606">
        <f t="shared" si="36"/>
        <v>0</v>
      </c>
    </row>
    <row r="607" spans="27:33" hidden="1" x14ac:dyDescent="0.25">
      <c r="AA607" t="s">
        <v>1325</v>
      </c>
      <c r="AB607" s="1" t="s">
        <v>9</v>
      </c>
      <c r="AC607" s="1" t="s">
        <v>10</v>
      </c>
      <c r="AD607" s="1" t="s">
        <v>0</v>
      </c>
      <c r="AE607" s="1" t="s">
        <v>5</v>
      </c>
      <c r="AF607" s="1" t="s">
        <v>3</v>
      </c>
      <c r="AG607">
        <f t="shared" si="36"/>
        <v>0</v>
      </c>
    </row>
    <row r="608" spans="27:33" hidden="1" x14ac:dyDescent="0.25">
      <c r="AA608" t="s">
        <v>1378</v>
      </c>
      <c r="AB608" s="1" t="s">
        <v>9</v>
      </c>
      <c r="AC608" s="1" t="s">
        <v>5</v>
      </c>
      <c r="AD608" s="1" t="s">
        <v>13</v>
      </c>
      <c r="AE608" s="1" t="s">
        <v>9</v>
      </c>
      <c r="AF608" s="1" t="s">
        <v>5</v>
      </c>
      <c r="AG608">
        <f t="shared" si="36"/>
        <v>0</v>
      </c>
    </row>
    <row r="609" spans="27:33" hidden="1" x14ac:dyDescent="0.25">
      <c r="AA609" t="s">
        <v>1446</v>
      </c>
      <c r="AB609" s="1" t="s">
        <v>3</v>
      </c>
      <c r="AC609" s="1" t="s">
        <v>1</v>
      </c>
      <c r="AD609" s="1" t="s">
        <v>8</v>
      </c>
      <c r="AE609" s="1" t="s">
        <v>1915</v>
      </c>
      <c r="AF609" s="1" t="s">
        <v>1</v>
      </c>
      <c r="AG609">
        <f t="shared" si="36"/>
        <v>0</v>
      </c>
    </row>
    <row r="610" spans="27:33" hidden="1" x14ac:dyDescent="0.25">
      <c r="AA610" t="s">
        <v>1610</v>
      </c>
      <c r="AB610" s="1" t="s">
        <v>2</v>
      </c>
      <c r="AC610" s="1" t="s">
        <v>5</v>
      </c>
      <c r="AD610" s="1" t="s">
        <v>0</v>
      </c>
      <c r="AE610" s="1" t="s">
        <v>10</v>
      </c>
      <c r="AF610" s="1" t="s">
        <v>5</v>
      </c>
      <c r="AG610">
        <f t="shared" si="36"/>
        <v>0</v>
      </c>
    </row>
    <row r="611" spans="27:33" hidden="1" x14ac:dyDescent="0.25">
      <c r="AA611" t="s">
        <v>325</v>
      </c>
      <c r="AB611" s="1" t="s">
        <v>0</v>
      </c>
      <c r="AC611" s="1" t="s">
        <v>1</v>
      </c>
      <c r="AD611" s="1" t="s">
        <v>3</v>
      </c>
      <c r="AE611" s="1" t="s">
        <v>0</v>
      </c>
      <c r="AF611" s="1" t="s">
        <v>1</v>
      </c>
      <c r="AG611">
        <f t="shared" si="36"/>
        <v>0</v>
      </c>
    </row>
    <row r="612" spans="27:33" hidden="1" x14ac:dyDescent="0.25">
      <c r="AA612" t="s">
        <v>1826</v>
      </c>
      <c r="AB612" s="1" t="s">
        <v>1919</v>
      </c>
      <c r="AC612" s="1" t="s">
        <v>11</v>
      </c>
      <c r="AD612" s="1" t="s">
        <v>7</v>
      </c>
      <c r="AE612" s="1" t="s">
        <v>7</v>
      </c>
      <c r="AF612" s="1" t="s">
        <v>5</v>
      </c>
      <c r="AG612">
        <f t="shared" si="36"/>
        <v>0</v>
      </c>
    </row>
    <row r="613" spans="27:33" hidden="1" x14ac:dyDescent="0.25">
      <c r="AA613" t="s">
        <v>1884</v>
      </c>
      <c r="AB613" s="1" t="s">
        <v>1918</v>
      </c>
      <c r="AC613" s="1" t="s">
        <v>11</v>
      </c>
      <c r="AD613" s="1" t="s">
        <v>1921</v>
      </c>
      <c r="AE613" s="1" t="s">
        <v>8</v>
      </c>
      <c r="AF613" s="1" t="s">
        <v>1</v>
      </c>
      <c r="AG613">
        <f t="shared" si="36"/>
        <v>0</v>
      </c>
    </row>
    <row r="614" spans="27:33" hidden="1" x14ac:dyDescent="0.25">
      <c r="AA614" t="s">
        <v>496</v>
      </c>
      <c r="AB614" s="1" t="s">
        <v>0</v>
      </c>
      <c r="AC614" s="1" t="s">
        <v>8</v>
      </c>
      <c r="AD614" s="1" t="s">
        <v>3</v>
      </c>
      <c r="AE614" s="1" t="s">
        <v>1915</v>
      </c>
      <c r="AF614" s="1" t="s">
        <v>5</v>
      </c>
      <c r="AG614">
        <f t="shared" si="36"/>
        <v>0</v>
      </c>
    </row>
    <row r="615" spans="27:33" hidden="1" x14ac:dyDescent="0.25">
      <c r="AA615" t="s">
        <v>664</v>
      </c>
      <c r="AB615" s="1" t="s">
        <v>1920</v>
      </c>
      <c r="AC615" s="1" t="s">
        <v>7</v>
      </c>
      <c r="AD615" s="1" t="s">
        <v>11</v>
      </c>
      <c r="AE615" s="1" t="s">
        <v>1922</v>
      </c>
      <c r="AF615" s="1" t="s">
        <v>5</v>
      </c>
      <c r="AG615">
        <f t="shared" si="36"/>
        <v>0</v>
      </c>
    </row>
    <row r="616" spans="27:33" hidden="1" x14ac:dyDescent="0.25">
      <c r="AA616" t="s">
        <v>1602</v>
      </c>
      <c r="AB616" s="1" t="s">
        <v>2</v>
      </c>
      <c r="AC616" s="1" t="s">
        <v>10</v>
      </c>
      <c r="AD616" s="1" t="s">
        <v>2</v>
      </c>
      <c r="AE616" s="1" t="s">
        <v>13</v>
      </c>
      <c r="AF616" s="1" t="s">
        <v>5</v>
      </c>
      <c r="AG616">
        <f t="shared" si="36"/>
        <v>0</v>
      </c>
    </row>
    <row r="617" spans="27:33" hidden="1" x14ac:dyDescent="0.25">
      <c r="AA617" t="s">
        <v>183</v>
      </c>
      <c r="AB617" s="1" t="s">
        <v>1914</v>
      </c>
      <c r="AC617" s="1" t="s">
        <v>1</v>
      </c>
      <c r="AD617" s="1" t="s">
        <v>2</v>
      </c>
      <c r="AE617" s="1" t="s">
        <v>1</v>
      </c>
      <c r="AF617" s="1" t="s">
        <v>7</v>
      </c>
      <c r="AG617">
        <f t="shared" si="36"/>
        <v>0</v>
      </c>
    </row>
    <row r="618" spans="27:33" hidden="1" x14ac:dyDescent="0.25">
      <c r="AA618" t="s">
        <v>2087</v>
      </c>
      <c r="AB618" s="1" t="s">
        <v>1920</v>
      </c>
      <c r="AC618" s="1" t="s">
        <v>11</v>
      </c>
      <c r="AD618" s="1" t="s">
        <v>13</v>
      </c>
      <c r="AE618" s="1" t="s">
        <v>8</v>
      </c>
      <c r="AF618" s="1" t="s">
        <v>3</v>
      </c>
      <c r="AG618">
        <f t="shared" si="36"/>
        <v>0</v>
      </c>
    </row>
    <row r="619" spans="27:33" hidden="1" x14ac:dyDescent="0.25">
      <c r="AA619" t="s">
        <v>1473</v>
      </c>
      <c r="AB619" s="1" t="s">
        <v>3</v>
      </c>
      <c r="AC619" s="1" t="s">
        <v>11</v>
      </c>
      <c r="AD619" s="1" t="s">
        <v>2</v>
      </c>
      <c r="AE619" s="1" t="s">
        <v>4</v>
      </c>
      <c r="AF619" s="1" t="s">
        <v>5</v>
      </c>
      <c r="AG619">
        <f t="shared" si="36"/>
        <v>0</v>
      </c>
    </row>
    <row r="620" spans="27:33" hidden="1" x14ac:dyDescent="0.25">
      <c r="AA620" t="s">
        <v>863</v>
      </c>
      <c r="AB620" s="1" t="s">
        <v>10</v>
      </c>
      <c r="AC620" s="1" t="s">
        <v>7</v>
      </c>
      <c r="AD620" s="1" t="s">
        <v>11</v>
      </c>
      <c r="AE620" s="1" t="s">
        <v>2</v>
      </c>
      <c r="AF620" s="1" t="s">
        <v>5</v>
      </c>
      <c r="AG620">
        <f t="shared" si="36"/>
        <v>0</v>
      </c>
    </row>
    <row r="621" spans="27:33" hidden="1" x14ac:dyDescent="0.25">
      <c r="AA621" t="s">
        <v>1064</v>
      </c>
      <c r="AB621" s="1" t="s">
        <v>13</v>
      </c>
      <c r="AC621" s="1" t="s">
        <v>11</v>
      </c>
      <c r="AD621" s="1" t="s">
        <v>3</v>
      </c>
      <c r="AE621" s="1" t="s">
        <v>13</v>
      </c>
      <c r="AF621" s="1" t="s">
        <v>1</v>
      </c>
      <c r="AG621">
        <f t="shared" si="36"/>
        <v>0</v>
      </c>
    </row>
    <row r="622" spans="27:33" hidden="1" x14ac:dyDescent="0.25">
      <c r="AA622" t="s">
        <v>1913</v>
      </c>
      <c r="AB622" s="1" t="s">
        <v>12</v>
      </c>
      <c r="AC622" s="1" t="s">
        <v>8</v>
      </c>
      <c r="AD622" s="1" t="s">
        <v>3</v>
      </c>
      <c r="AE622" s="1" t="s">
        <v>3</v>
      </c>
      <c r="AF622" s="1" t="s">
        <v>1</v>
      </c>
      <c r="AG622">
        <f t="shared" si="36"/>
        <v>0</v>
      </c>
    </row>
    <row r="623" spans="27:33" hidden="1" x14ac:dyDescent="0.25">
      <c r="AA623" t="s">
        <v>1900</v>
      </c>
      <c r="AB623" s="1" t="s">
        <v>12</v>
      </c>
      <c r="AC623" s="1" t="s">
        <v>1</v>
      </c>
      <c r="AD623" s="1" t="s">
        <v>6</v>
      </c>
      <c r="AE623" s="1" t="s">
        <v>0</v>
      </c>
      <c r="AF623" s="1" t="s">
        <v>1</v>
      </c>
      <c r="AG623">
        <f t="shared" si="36"/>
        <v>0</v>
      </c>
    </row>
    <row r="624" spans="27:33" hidden="1" x14ac:dyDescent="0.25">
      <c r="AA624" t="s">
        <v>2065</v>
      </c>
      <c r="AB624" s="1" t="s">
        <v>9</v>
      </c>
      <c r="AC624" s="1" t="s">
        <v>5</v>
      </c>
      <c r="AD624" s="1" t="s">
        <v>0</v>
      </c>
      <c r="AE624" s="1" t="s">
        <v>1917</v>
      </c>
      <c r="AF624" s="1" t="s">
        <v>11</v>
      </c>
      <c r="AG624">
        <f t="shared" si="36"/>
        <v>0</v>
      </c>
    </row>
    <row r="625" spans="27:33" hidden="1" x14ac:dyDescent="0.25">
      <c r="AA625" t="s">
        <v>740</v>
      </c>
      <c r="AB625" s="1" t="s">
        <v>1921</v>
      </c>
      <c r="AC625" s="1" t="s">
        <v>5</v>
      </c>
      <c r="AD625" s="1" t="s">
        <v>1920</v>
      </c>
      <c r="AE625" s="1" t="s">
        <v>3</v>
      </c>
      <c r="AF625" s="1" t="s">
        <v>11</v>
      </c>
      <c r="AG625">
        <f t="shared" si="36"/>
        <v>0</v>
      </c>
    </row>
    <row r="626" spans="27:33" hidden="1" x14ac:dyDescent="0.25">
      <c r="AA626" t="s">
        <v>129</v>
      </c>
      <c r="AB626" s="1" t="s">
        <v>1</v>
      </c>
      <c r="AC626" s="1" t="s">
        <v>2</v>
      </c>
      <c r="AD626" s="1" t="s">
        <v>4</v>
      </c>
      <c r="AE626" s="1" t="s">
        <v>3</v>
      </c>
      <c r="AF626" s="1" t="s">
        <v>5</v>
      </c>
      <c r="AG626">
        <f t="shared" si="36"/>
        <v>0</v>
      </c>
    </row>
    <row r="627" spans="27:33" hidden="1" x14ac:dyDescent="0.25">
      <c r="AA627" t="s">
        <v>943</v>
      </c>
      <c r="AB627" s="1" t="s">
        <v>7</v>
      </c>
      <c r="AC627" s="1" t="s">
        <v>11</v>
      </c>
      <c r="AD627" s="1" t="s">
        <v>5</v>
      </c>
      <c r="AE627" s="1" t="s">
        <v>6</v>
      </c>
      <c r="AF627" s="1" t="s">
        <v>1</v>
      </c>
      <c r="AG627">
        <f t="shared" si="36"/>
        <v>0</v>
      </c>
    </row>
    <row r="628" spans="27:33" hidden="1" x14ac:dyDescent="0.25">
      <c r="AA628" t="s">
        <v>1272</v>
      </c>
      <c r="AB628" s="1" t="s">
        <v>9</v>
      </c>
      <c r="AC628" s="1" t="s">
        <v>1</v>
      </c>
      <c r="AD628" s="1" t="s">
        <v>3</v>
      </c>
      <c r="AE628" s="1" t="s">
        <v>11</v>
      </c>
      <c r="AF628" s="1" t="s">
        <v>5</v>
      </c>
      <c r="AG628">
        <f t="shared" si="36"/>
        <v>0</v>
      </c>
    </row>
    <row r="629" spans="27:33" hidden="1" x14ac:dyDescent="0.25">
      <c r="AA629" t="s">
        <v>1461</v>
      </c>
      <c r="AB629" s="1" t="s">
        <v>3</v>
      </c>
      <c r="AC629" s="1" t="s">
        <v>11</v>
      </c>
      <c r="AD629" s="1" t="s">
        <v>10</v>
      </c>
      <c r="AE629" s="1" t="s">
        <v>6</v>
      </c>
      <c r="AF629" s="1" t="s">
        <v>1</v>
      </c>
      <c r="AG629">
        <f t="shared" si="36"/>
        <v>0</v>
      </c>
    </row>
    <row r="630" spans="27:33" hidden="1" x14ac:dyDescent="0.25">
      <c r="AA630" t="s">
        <v>782</v>
      </c>
      <c r="AB630" s="1" t="s">
        <v>1921</v>
      </c>
      <c r="AC630" s="1" t="s">
        <v>8</v>
      </c>
      <c r="AD630" s="1" t="s">
        <v>1</v>
      </c>
      <c r="AE630" s="1" t="s">
        <v>9</v>
      </c>
      <c r="AF630" s="1" t="s">
        <v>1</v>
      </c>
      <c r="AG630">
        <f t="shared" si="36"/>
        <v>0</v>
      </c>
    </row>
    <row r="631" spans="27:33" hidden="1" x14ac:dyDescent="0.25">
      <c r="AA631" t="s">
        <v>2022</v>
      </c>
      <c r="AB631" s="1" t="s">
        <v>1</v>
      </c>
      <c r="AC631" s="1" t="s">
        <v>12</v>
      </c>
      <c r="AD631" s="1" t="s">
        <v>10</v>
      </c>
      <c r="AE631" s="1" t="s">
        <v>13</v>
      </c>
      <c r="AF631" s="1" t="s">
        <v>5</v>
      </c>
      <c r="AG631">
        <f t="shared" si="36"/>
        <v>0</v>
      </c>
    </row>
    <row r="632" spans="27:33" hidden="1" x14ac:dyDescent="0.25">
      <c r="AA632" t="s">
        <v>1345</v>
      </c>
      <c r="AB632" s="1" t="s">
        <v>9</v>
      </c>
      <c r="AC632" s="1" t="s">
        <v>7</v>
      </c>
      <c r="AD632" s="1" t="s">
        <v>1</v>
      </c>
      <c r="AE632" s="1" t="s">
        <v>0</v>
      </c>
      <c r="AF632" s="1" t="s">
        <v>1</v>
      </c>
      <c r="AG632">
        <f t="shared" si="36"/>
        <v>0</v>
      </c>
    </row>
    <row r="633" spans="27:33" hidden="1" x14ac:dyDescent="0.25">
      <c r="AA633" t="s">
        <v>2048</v>
      </c>
      <c r="AB633" s="1" t="s">
        <v>9</v>
      </c>
      <c r="AC633" s="1" t="s">
        <v>1</v>
      </c>
      <c r="AD633" s="1" t="s">
        <v>1918</v>
      </c>
      <c r="AE633" s="1" t="s">
        <v>11</v>
      </c>
      <c r="AF633" s="1" t="s">
        <v>2</v>
      </c>
      <c r="AG633">
        <f t="shared" si="36"/>
        <v>0</v>
      </c>
    </row>
    <row r="634" spans="27:33" hidden="1" x14ac:dyDescent="0.25">
      <c r="AA634" t="s">
        <v>1429</v>
      </c>
      <c r="AB634" s="1" t="s">
        <v>3</v>
      </c>
      <c r="AC634" s="1" t="s">
        <v>1</v>
      </c>
      <c r="AD634" s="1" t="s">
        <v>1915</v>
      </c>
      <c r="AE634" s="1" t="s">
        <v>1</v>
      </c>
      <c r="AF634" s="1" t="s">
        <v>3</v>
      </c>
      <c r="AG634">
        <f t="shared" si="36"/>
        <v>0</v>
      </c>
    </row>
    <row r="635" spans="27:33" hidden="1" x14ac:dyDescent="0.25">
      <c r="AA635" t="s">
        <v>1781</v>
      </c>
      <c r="AB635" s="1" t="s">
        <v>4</v>
      </c>
      <c r="AC635" s="1" t="s">
        <v>8</v>
      </c>
      <c r="AD635" s="1" t="s">
        <v>13</v>
      </c>
      <c r="AE635" s="1" t="s">
        <v>5</v>
      </c>
      <c r="AF635" s="1" t="s">
        <v>3</v>
      </c>
      <c r="AG635">
        <f t="shared" si="36"/>
        <v>0</v>
      </c>
    </row>
    <row r="636" spans="27:33" hidden="1" x14ac:dyDescent="0.25">
      <c r="AA636" t="s">
        <v>1688</v>
      </c>
      <c r="AB636" s="1" t="s">
        <v>4</v>
      </c>
      <c r="AC636" s="1" t="s">
        <v>11</v>
      </c>
      <c r="AD636" s="1" t="s">
        <v>6</v>
      </c>
      <c r="AE636" s="1" t="s">
        <v>11</v>
      </c>
      <c r="AF636" s="1" t="s">
        <v>3</v>
      </c>
      <c r="AG636">
        <f t="shared" si="36"/>
        <v>0</v>
      </c>
    </row>
    <row r="637" spans="27:33" hidden="1" x14ac:dyDescent="0.25">
      <c r="AA637" t="s">
        <v>598</v>
      </c>
      <c r="AB637" s="1" t="s">
        <v>11</v>
      </c>
      <c r="AC637" s="1" t="s">
        <v>2</v>
      </c>
      <c r="AD637" s="1" t="s">
        <v>4</v>
      </c>
      <c r="AE637" s="1" t="s">
        <v>5</v>
      </c>
      <c r="AF637" s="1" t="s">
        <v>2</v>
      </c>
      <c r="AG637">
        <f t="shared" si="36"/>
        <v>0</v>
      </c>
    </row>
    <row r="638" spans="27:33" hidden="1" x14ac:dyDescent="0.25">
      <c r="AA638" t="s">
        <v>734</v>
      </c>
      <c r="AB638" s="1" t="s">
        <v>1921</v>
      </c>
      <c r="AC638" s="1" t="s">
        <v>7</v>
      </c>
      <c r="AD638" s="1" t="s">
        <v>10</v>
      </c>
      <c r="AE638" s="1" t="s">
        <v>1920</v>
      </c>
      <c r="AF638" s="1" t="s">
        <v>5</v>
      </c>
      <c r="AG638">
        <f t="shared" si="36"/>
        <v>0</v>
      </c>
    </row>
    <row r="639" spans="27:33" hidden="1" x14ac:dyDescent="0.25">
      <c r="AA639" t="s">
        <v>1611</v>
      </c>
      <c r="AB639" s="1" t="s">
        <v>2</v>
      </c>
      <c r="AC639" s="1" t="s">
        <v>5</v>
      </c>
      <c r="AD639" s="1" t="s">
        <v>1915</v>
      </c>
      <c r="AE639" s="1" t="s">
        <v>10</v>
      </c>
      <c r="AF639" s="1" t="s">
        <v>5</v>
      </c>
      <c r="AG639">
        <f t="shared" si="36"/>
        <v>0</v>
      </c>
    </row>
    <row r="640" spans="27:33" hidden="1" x14ac:dyDescent="0.25">
      <c r="AA640" t="s">
        <v>711</v>
      </c>
      <c r="AB640" s="1" t="s">
        <v>1921</v>
      </c>
      <c r="AC640" s="1" t="s">
        <v>1</v>
      </c>
      <c r="AD640" s="1" t="s">
        <v>7</v>
      </c>
      <c r="AE640" s="1" t="s">
        <v>1921</v>
      </c>
      <c r="AF640" s="1" t="s">
        <v>5</v>
      </c>
      <c r="AG640">
        <f t="shared" si="36"/>
        <v>0</v>
      </c>
    </row>
    <row r="641" spans="27:33" hidden="1" x14ac:dyDescent="0.25">
      <c r="AA641" t="s">
        <v>365</v>
      </c>
      <c r="AB641" s="1" t="s">
        <v>0</v>
      </c>
      <c r="AC641" s="1" t="s">
        <v>11</v>
      </c>
      <c r="AD641" s="1" t="s">
        <v>3</v>
      </c>
      <c r="AE641" s="1" t="s">
        <v>1915</v>
      </c>
      <c r="AF641" s="1" t="s">
        <v>1</v>
      </c>
      <c r="AG641">
        <f t="shared" si="36"/>
        <v>0</v>
      </c>
    </row>
    <row r="642" spans="27:33" hidden="1" x14ac:dyDescent="0.25">
      <c r="AA642" t="s">
        <v>1609</v>
      </c>
      <c r="AB642" s="1" t="s">
        <v>2</v>
      </c>
      <c r="AC642" s="1" t="s">
        <v>5</v>
      </c>
      <c r="AD642" s="1" t="s">
        <v>0</v>
      </c>
      <c r="AE642" s="1" t="s">
        <v>10</v>
      </c>
      <c r="AF642" s="1" t="s">
        <v>1</v>
      </c>
      <c r="AG642">
        <f t="shared" si="36"/>
        <v>0</v>
      </c>
    </row>
    <row r="643" spans="27:33" hidden="1" x14ac:dyDescent="0.25">
      <c r="AA643" t="s">
        <v>339</v>
      </c>
      <c r="AB643" s="1" t="s">
        <v>0</v>
      </c>
      <c r="AC643" s="1" t="s">
        <v>1</v>
      </c>
      <c r="AD643" s="1" t="s">
        <v>2</v>
      </c>
      <c r="AE643" s="1" t="s">
        <v>4</v>
      </c>
      <c r="AF643" s="1" t="s">
        <v>1</v>
      </c>
      <c r="AG643">
        <f t="shared" ref="AG643:AG706" si="37">IF(AND(Z643&gt;0,Z643&lt;7),AG642+1,0)</f>
        <v>0</v>
      </c>
    </row>
    <row r="644" spans="27:33" hidden="1" x14ac:dyDescent="0.25">
      <c r="AA644" t="s">
        <v>60</v>
      </c>
      <c r="AB644" s="1" t="s">
        <v>1</v>
      </c>
      <c r="AC644" s="1" t="s">
        <v>7</v>
      </c>
      <c r="AD644" s="1" t="s">
        <v>1920</v>
      </c>
      <c r="AE644" s="1" t="s">
        <v>5</v>
      </c>
      <c r="AF644" s="1" t="s">
        <v>12</v>
      </c>
      <c r="AG644">
        <f t="shared" si="37"/>
        <v>0</v>
      </c>
    </row>
    <row r="645" spans="27:33" hidden="1" x14ac:dyDescent="0.25">
      <c r="AA645" t="s">
        <v>161</v>
      </c>
      <c r="AB645" s="1" t="s">
        <v>1914</v>
      </c>
      <c r="AC645" s="1" t="s">
        <v>1</v>
      </c>
      <c r="AD645" s="1" t="s">
        <v>15</v>
      </c>
      <c r="AE645" s="1" t="s">
        <v>1</v>
      </c>
      <c r="AF645" s="1" t="s">
        <v>3</v>
      </c>
      <c r="AG645">
        <f t="shared" si="37"/>
        <v>0</v>
      </c>
    </row>
    <row r="646" spans="27:33" hidden="1" x14ac:dyDescent="0.25">
      <c r="AA646" t="s">
        <v>396</v>
      </c>
      <c r="AB646" s="1" t="s">
        <v>0</v>
      </c>
      <c r="AC646" s="1" t="s">
        <v>1917</v>
      </c>
      <c r="AD646" s="1" t="s">
        <v>8</v>
      </c>
      <c r="AE646" s="1" t="s">
        <v>1920</v>
      </c>
      <c r="AF646" s="1" t="s">
        <v>1</v>
      </c>
      <c r="AG646">
        <f t="shared" si="37"/>
        <v>0</v>
      </c>
    </row>
    <row r="647" spans="27:33" hidden="1" x14ac:dyDescent="0.25">
      <c r="AA647" t="s">
        <v>867</v>
      </c>
      <c r="AB647" s="1" t="s">
        <v>10</v>
      </c>
      <c r="AC647" s="1" t="s">
        <v>6</v>
      </c>
      <c r="AD647" s="1" t="s">
        <v>1915</v>
      </c>
      <c r="AE647" s="1" t="s">
        <v>10</v>
      </c>
      <c r="AF647" s="1" t="s">
        <v>1</v>
      </c>
      <c r="AG647">
        <f t="shared" si="37"/>
        <v>0</v>
      </c>
    </row>
    <row r="648" spans="27:33" hidden="1" x14ac:dyDescent="0.25">
      <c r="AA648" t="s">
        <v>1107</v>
      </c>
      <c r="AB648" s="1" t="s">
        <v>13</v>
      </c>
      <c r="AC648" s="1" t="s">
        <v>5</v>
      </c>
      <c r="AD648" s="1" t="s">
        <v>6</v>
      </c>
      <c r="AE648" s="1" t="s">
        <v>4</v>
      </c>
      <c r="AF648" s="1" t="s">
        <v>11</v>
      </c>
      <c r="AG648">
        <f t="shared" si="37"/>
        <v>0</v>
      </c>
    </row>
    <row r="649" spans="27:33" hidden="1" x14ac:dyDescent="0.25">
      <c r="AA649" t="s">
        <v>2288</v>
      </c>
      <c r="AB649" s="1" t="s">
        <v>1914</v>
      </c>
      <c r="AC649" s="1" t="s">
        <v>8</v>
      </c>
      <c r="AD649" s="1" t="s">
        <v>7</v>
      </c>
      <c r="AE649" s="1" t="s">
        <v>5</v>
      </c>
      <c r="AF649" s="1" t="s">
        <v>6</v>
      </c>
      <c r="AG649">
        <f t="shared" si="37"/>
        <v>0</v>
      </c>
    </row>
    <row r="650" spans="27:33" hidden="1" x14ac:dyDescent="0.25">
      <c r="AA650" t="s">
        <v>432</v>
      </c>
      <c r="AB650" s="1" t="s">
        <v>0</v>
      </c>
      <c r="AC650" s="1" t="s">
        <v>5</v>
      </c>
      <c r="AD650" s="1" t="s">
        <v>0</v>
      </c>
      <c r="AE650" s="1" t="s">
        <v>11</v>
      </c>
      <c r="AF650" s="1" t="s">
        <v>3</v>
      </c>
      <c r="AG650">
        <f t="shared" si="37"/>
        <v>0</v>
      </c>
    </row>
    <row r="651" spans="27:33" hidden="1" x14ac:dyDescent="0.25">
      <c r="AA651" t="s">
        <v>725</v>
      </c>
      <c r="AB651" s="1" t="s">
        <v>1921</v>
      </c>
      <c r="AC651" s="1" t="s">
        <v>1</v>
      </c>
      <c r="AD651" s="1" t="s">
        <v>4</v>
      </c>
      <c r="AE651" s="1" t="s">
        <v>11</v>
      </c>
      <c r="AF651" s="1" t="s">
        <v>5</v>
      </c>
      <c r="AG651">
        <f t="shared" si="37"/>
        <v>0</v>
      </c>
    </row>
    <row r="652" spans="27:33" hidden="1" x14ac:dyDescent="0.25">
      <c r="AA652" t="s">
        <v>1397</v>
      </c>
      <c r="AB652" s="1" t="s">
        <v>9</v>
      </c>
      <c r="AC652" s="1" t="s">
        <v>3</v>
      </c>
      <c r="AD652" s="1" t="s">
        <v>5</v>
      </c>
      <c r="AE652" s="1" t="s">
        <v>7</v>
      </c>
      <c r="AF652" s="1" t="s">
        <v>11</v>
      </c>
      <c r="AG652">
        <f t="shared" si="37"/>
        <v>0</v>
      </c>
    </row>
    <row r="653" spans="27:33" hidden="1" x14ac:dyDescent="0.25">
      <c r="AA653" t="s">
        <v>1999</v>
      </c>
      <c r="AB653" s="1" t="s">
        <v>1</v>
      </c>
      <c r="AC653" s="1" t="s">
        <v>4</v>
      </c>
      <c r="AD653" s="1" t="s">
        <v>10</v>
      </c>
      <c r="AE653" s="1" t="s">
        <v>0</v>
      </c>
      <c r="AF653" s="1" t="s">
        <v>5</v>
      </c>
      <c r="AG653">
        <f t="shared" si="37"/>
        <v>0</v>
      </c>
    </row>
    <row r="654" spans="27:33" hidden="1" x14ac:dyDescent="0.25">
      <c r="AA654" t="s">
        <v>1117</v>
      </c>
      <c r="AB654" s="1" t="s">
        <v>13</v>
      </c>
      <c r="AC654" s="1" t="s">
        <v>5</v>
      </c>
      <c r="AD654" s="1" t="s">
        <v>4</v>
      </c>
      <c r="AE654" s="1" t="s">
        <v>5</v>
      </c>
      <c r="AF654" s="1" t="s">
        <v>3</v>
      </c>
      <c r="AG654">
        <f t="shared" si="37"/>
        <v>0</v>
      </c>
    </row>
    <row r="655" spans="27:33" hidden="1" x14ac:dyDescent="0.25">
      <c r="AA655" t="s">
        <v>945</v>
      </c>
      <c r="AB655" s="1" t="s">
        <v>7</v>
      </c>
      <c r="AC655" s="1" t="s">
        <v>11</v>
      </c>
      <c r="AD655" s="1" t="s">
        <v>3</v>
      </c>
      <c r="AE655" s="1" t="s">
        <v>1915</v>
      </c>
      <c r="AF655" s="1" t="s">
        <v>1</v>
      </c>
      <c r="AG655">
        <f t="shared" si="37"/>
        <v>0</v>
      </c>
    </row>
    <row r="656" spans="27:33" hidden="1" x14ac:dyDescent="0.25">
      <c r="AA656" t="s">
        <v>948</v>
      </c>
      <c r="AB656" s="1" t="s">
        <v>7</v>
      </c>
      <c r="AC656" s="1" t="s">
        <v>11</v>
      </c>
      <c r="AD656" s="1" t="s">
        <v>4</v>
      </c>
      <c r="AE656" s="1" t="s">
        <v>3</v>
      </c>
      <c r="AF656" s="1" t="s">
        <v>1</v>
      </c>
      <c r="AG656">
        <f t="shared" si="37"/>
        <v>0</v>
      </c>
    </row>
    <row r="657" spans="27:33" hidden="1" x14ac:dyDescent="0.25">
      <c r="AA657" t="s">
        <v>726</v>
      </c>
      <c r="AB657" s="1" t="s">
        <v>1921</v>
      </c>
      <c r="AC657" s="1" t="s">
        <v>1</v>
      </c>
      <c r="AD657" s="1" t="s">
        <v>1919</v>
      </c>
      <c r="AE657" s="1" t="s">
        <v>10</v>
      </c>
      <c r="AF657" s="1" t="s">
        <v>1</v>
      </c>
      <c r="AG657">
        <f t="shared" si="37"/>
        <v>0</v>
      </c>
    </row>
    <row r="658" spans="27:33" hidden="1" x14ac:dyDescent="0.25">
      <c r="AA658" t="s">
        <v>1238</v>
      </c>
      <c r="AB658" s="1" t="s">
        <v>5</v>
      </c>
      <c r="AC658" s="1" t="s">
        <v>2</v>
      </c>
      <c r="AD658" s="1" t="s">
        <v>4</v>
      </c>
      <c r="AE658" s="1" t="s">
        <v>3</v>
      </c>
      <c r="AF658" s="1" t="s">
        <v>1</v>
      </c>
      <c r="AG658">
        <f t="shared" si="37"/>
        <v>0</v>
      </c>
    </row>
    <row r="659" spans="27:33" hidden="1" x14ac:dyDescent="0.25">
      <c r="AA659" t="s">
        <v>1198</v>
      </c>
      <c r="AB659" s="1" t="s">
        <v>5</v>
      </c>
      <c r="AC659" s="1" t="s">
        <v>1914</v>
      </c>
      <c r="AD659" s="1" t="s">
        <v>11</v>
      </c>
      <c r="AE659" s="1" t="s">
        <v>2</v>
      </c>
      <c r="AF659" s="1" t="s">
        <v>5</v>
      </c>
      <c r="AG659">
        <f t="shared" si="37"/>
        <v>0</v>
      </c>
    </row>
    <row r="660" spans="27:33" hidden="1" x14ac:dyDescent="0.25">
      <c r="AA660" t="s">
        <v>1744</v>
      </c>
      <c r="AB660" s="1" t="s">
        <v>4</v>
      </c>
      <c r="AC660" s="1" t="s">
        <v>5</v>
      </c>
      <c r="AD660" s="1" t="s">
        <v>2</v>
      </c>
      <c r="AE660" s="1" t="s">
        <v>0</v>
      </c>
      <c r="AF660" s="1" t="s">
        <v>1</v>
      </c>
      <c r="AG660">
        <f t="shared" si="37"/>
        <v>0</v>
      </c>
    </row>
    <row r="661" spans="27:33" hidden="1" x14ac:dyDescent="0.25">
      <c r="AA661" t="s">
        <v>1546</v>
      </c>
      <c r="AB661" s="1" t="s">
        <v>2</v>
      </c>
      <c r="AC661" s="1" t="s">
        <v>1</v>
      </c>
      <c r="AD661" s="1" t="s">
        <v>13</v>
      </c>
      <c r="AE661" s="1" t="s">
        <v>1914</v>
      </c>
      <c r="AF661" s="1" t="s">
        <v>1</v>
      </c>
      <c r="AG661">
        <f t="shared" si="37"/>
        <v>0</v>
      </c>
    </row>
    <row r="662" spans="27:33" hidden="1" x14ac:dyDescent="0.25">
      <c r="AA662" t="s">
        <v>988</v>
      </c>
      <c r="AB662" s="1" t="s">
        <v>7</v>
      </c>
      <c r="AC662" s="1" t="s">
        <v>5</v>
      </c>
      <c r="AD662" s="1" t="s">
        <v>3</v>
      </c>
      <c r="AE662" s="1" t="s">
        <v>12</v>
      </c>
      <c r="AF662" s="1" t="s">
        <v>1</v>
      </c>
      <c r="AG662">
        <f t="shared" si="37"/>
        <v>0</v>
      </c>
    </row>
    <row r="663" spans="27:33" hidden="1" x14ac:dyDescent="0.25">
      <c r="AA663" t="s">
        <v>672</v>
      </c>
      <c r="AB663" s="1" t="s">
        <v>1920</v>
      </c>
      <c r="AC663" s="1" t="s">
        <v>7</v>
      </c>
      <c r="AD663" s="1" t="s">
        <v>8</v>
      </c>
      <c r="AE663" s="1" t="s">
        <v>15</v>
      </c>
      <c r="AF663" s="1" t="s">
        <v>5</v>
      </c>
      <c r="AG663">
        <f t="shared" si="37"/>
        <v>0</v>
      </c>
    </row>
    <row r="664" spans="27:33" hidden="1" x14ac:dyDescent="0.25">
      <c r="AA664" t="s">
        <v>1018</v>
      </c>
      <c r="AB664" s="1" t="s">
        <v>13</v>
      </c>
      <c r="AC664" s="1" t="s">
        <v>1</v>
      </c>
      <c r="AD664" s="1" t="s">
        <v>13</v>
      </c>
      <c r="AE664" s="1" t="s">
        <v>1914</v>
      </c>
      <c r="AF664" s="1" t="s">
        <v>5</v>
      </c>
      <c r="AG664">
        <f t="shared" si="37"/>
        <v>0</v>
      </c>
    </row>
    <row r="665" spans="27:33" hidden="1" x14ac:dyDescent="0.25">
      <c r="AA665" t="s">
        <v>383</v>
      </c>
      <c r="AB665" s="1" t="s">
        <v>0</v>
      </c>
      <c r="AC665" s="1" t="s">
        <v>1917</v>
      </c>
      <c r="AD665" s="1" t="s">
        <v>10</v>
      </c>
      <c r="AE665" s="1" t="s">
        <v>7</v>
      </c>
      <c r="AF665" s="1" t="s">
        <v>11</v>
      </c>
      <c r="AG665">
        <f t="shared" si="37"/>
        <v>0</v>
      </c>
    </row>
    <row r="666" spans="27:33" hidden="1" x14ac:dyDescent="0.25">
      <c r="AA666" t="s">
        <v>1126</v>
      </c>
      <c r="AB666" s="1" t="s">
        <v>13</v>
      </c>
      <c r="AC666" s="1" t="s">
        <v>8</v>
      </c>
      <c r="AD666" s="1" t="s">
        <v>1921</v>
      </c>
      <c r="AE666" s="1" t="s">
        <v>3</v>
      </c>
      <c r="AF666" s="1" t="s">
        <v>11</v>
      </c>
      <c r="AG666">
        <f t="shared" si="37"/>
        <v>0</v>
      </c>
    </row>
    <row r="667" spans="27:33" hidden="1" x14ac:dyDescent="0.25">
      <c r="AA667" t="s">
        <v>1455</v>
      </c>
      <c r="AB667" s="1" t="s">
        <v>3</v>
      </c>
      <c r="AC667" s="1" t="s">
        <v>11</v>
      </c>
      <c r="AD667" s="1" t="s">
        <v>0</v>
      </c>
      <c r="AE667" s="1" t="s">
        <v>8</v>
      </c>
      <c r="AF667" s="1" t="s">
        <v>1</v>
      </c>
      <c r="AG667">
        <f t="shared" si="37"/>
        <v>0</v>
      </c>
    </row>
    <row r="668" spans="27:33" hidden="1" x14ac:dyDescent="0.25">
      <c r="AA668" t="s">
        <v>1726</v>
      </c>
      <c r="AB668" s="1" t="s">
        <v>4</v>
      </c>
      <c r="AC668" s="1" t="s">
        <v>5</v>
      </c>
      <c r="AD668" s="1" t="s">
        <v>13</v>
      </c>
      <c r="AE668" s="1" t="s">
        <v>1</v>
      </c>
      <c r="AF668" s="1" t="s">
        <v>3</v>
      </c>
      <c r="AG668">
        <f t="shared" si="37"/>
        <v>0</v>
      </c>
    </row>
    <row r="669" spans="27:33" hidden="1" x14ac:dyDescent="0.25">
      <c r="AA669" t="s">
        <v>245</v>
      </c>
      <c r="AB669" s="1" t="s">
        <v>1914</v>
      </c>
      <c r="AC669" s="1" t="s">
        <v>3</v>
      </c>
      <c r="AD669" s="1" t="s">
        <v>1</v>
      </c>
      <c r="AE669" s="1" t="s">
        <v>12</v>
      </c>
      <c r="AF669" s="1" t="s">
        <v>1</v>
      </c>
      <c r="AG669">
        <f t="shared" si="37"/>
        <v>0</v>
      </c>
    </row>
    <row r="670" spans="27:33" hidden="1" x14ac:dyDescent="0.25">
      <c r="AA670" t="s">
        <v>1885</v>
      </c>
      <c r="AB670" s="1" t="s">
        <v>1918</v>
      </c>
      <c r="AC670" s="1" t="s">
        <v>11</v>
      </c>
      <c r="AD670" s="1" t="s">
        <v>7</v>
      </c>
      <c r="AE670" s="1" t="s">
        <v>13</v>
      </c>
      <c r="AF670" s="1" t="s">
        <v>5</v>
      </c>
      <c r="AG670">
        <f t="shared" si="37"/>
        <v>0</v>
      </c>
    </row>
    <row r="671" spans="27:33" hidden="1" x14ac:dyDescent="0.25">
      <c r="AA671" t="s">
        <v>1421</v>
      </c>
      <c r="AB671" s="1" t="s">
        <v>1923</v>
      </c>
      <c r="AC671" s="1" t="s">
        <v>8</v>
      </c>
      <c r="AD671" s="1" t="s">
        <v>11</v>
      </c>
      <c r="AE671" s="1" t="s">
        <v>2</v>
      </c>
      <c r="AF671" s="1" t="s">
        <v>5</v>
      </c>
      <c r="AG671">
        <f t="shared" si="37"/>
        <v>0</v>
      </c>
    </row>
    <row r="672" spans="27:33" hidden="1" x14ac:dyDescent="0.25">
      <c r="AA672" t="s">
        <v>51</v>
      </c>
      <c r="AB672" s="1" t="s">
        <v>1</v>
      </c>
      <c r="AC672" s="1" t="s">
        <v>15</v>
      </c>
      <c r="AD672" s="1" t="s">
        <v>11</v>
      </c>
      <c r="AE672" s="1" t="s">
        <v>4</v>
      </c>
      <c r="AF672" s="1" t="s">
        <v>11</v>
      </c>
      <c r="AG672">
        <f t="shared" si="37"/>
        <v>0</v>
      </c>
    </row>
    <row r="673" spans="27:33" hidden="1" x14ac:dyDescent="0.25">
      <c r="AA673" t="s">
        <v>1342</v>
      </c>
      <c r="AB673" s="1" t="s">
        <v>9</v>
      </c>
      <c r="AC673" s="1" t="s">
        <v>10</v>
      </c>
      <c r="AD673" s="1" t="s">
        <v>4</v>
      </c>
      <c r="AE673" s="1" t="s">
        <v>1</v>
      </c>
      <c r="AF673" s="1" t="s">
        <v>3</v>
      </c>
      <c r="AG673">
        <f t="shared" si="37"/>
        <v>0</v>
      </c>
    </row>
    <row r="674" spans="27:33" hidden="1" x14ac:dyDescent="0.25">
      <c r="AA674" t="s">
        <v>1405</v>
      </c>
      <c r="AB674" s="1" t="s">
        <v>9</v>
      </c>
      <c r="AC674" s="1" t="s">
        <v>8</v>
      </c>
      <c r="AD674" s="1" t="s">
        <v>7</v>
      </c>
      <c r="AE674" s="1" t="s">
        <v>10</v>
      </c>
      <c r="AF674" s="1" t="s">
        <v>3</v>
      </c>
      <c r="AG674">
        <f t="shared" si="37"/>
        <v>0</v>
      </c>
    </row>
    <row r="675" spans="27:33" hidden="1" x14ac:dyDescent="0.25">
      <c r="AA675" t="s">
        <v>52</v>
      </c>
      <c r="AB675" s="1" t="s">
        <v>1</v>
      </c>
      <c r="AC675" s="1" t="s">
        <v>15</v>
      </c>
      <c r="AD675" s="1" t="s">
        <v>8</v>
      </c>
      <c r="AE675" s="1" t="s">
        <v>1</v>
      </c>
      <c r="AF675" s="1" t="s">
        <v>3</v>
      </c>
      <c r="AG675">
        <f t="shared" si="37"/>
        <v>0</v>
      </c>
    </row>
    <row r="676" spans="27:33" hidden="1" x14ac:dyDescent="0.25">
      <c r="AA676" t="s">
        <v>145</v>
      </c>
      <c r="AB676" s="1" t="s">
        <v>1</v>
      </c>
      <c r="AC676" s="1" t="s">
        <v>1919</v>
      </c>
      <c r="AD676" s="1" t="s">
        <v>11</v>
      </c>
      <c r="AE676" s="1" t="s">
        <v>6</v>
      </c>
      <c r="AF676" s="1" t="s">
        <v>1</v>
      </c>
      <c r="AG676">
        <f t="shared" si="37"/>
        <v>0</v>
      </c>
    </row>
    <row r="677" spans="27:33" hidden="1" x14ac:dyDescent="0.25">
      <c r="AA677" t="s">
        <v>2195</v>
      </c>
      <c r="AB677" s="1" t="s">
        <v>11</v>
      </c>
      <c r="AC677" s="1" t="s">
        <v>15</v>
      </c>
      <c r="AD677" s="1" t="s">
        <v>10</v>
      </c>
      <c r="AE677" s="1" t="s">
        <v>5</v>
      </c>
      <c r="AF677" s="1" t="s">
        <v>6</v>
      </c>
      <c r="AG677">
        <f t="shared" si="37"/>
        <v>0</v>
      </c>
    </row>
    <row r="678" spans="27:33" hidden="1" x14ac:dyDescent="0.25">
      <c r="AA678" t="s">
        <v>2174</v>
      </c>
      <c r="AB678" s="1" t="s">
        <v>4</v>
      </c>
      <c r="AC678" s="1" t="s">
        <v>5</v>
      </c>
      <c r="AD678" s="1" t="s">
        <v>7</v>
      </c>
      <c r="AE678" s="1" t="s">
        <v>5</v>
      </c>
      <c r="AF678" s="1" t="s">
        <v>6</v>
      </c>
      <c r="AG678">
        <f t="shared" si="37"/>
        <v>0</v>
      </c>
    </row>
    <row r="679" spans="27:33" hidden="1" x14ac:dyDescent="0.25">
      <c r="AA679" t="s">
        <v>1719</v>
      </c>
      <c r="AB679" s="1" t="s">
        <v>4</v>
      </c>
      <c r="AC679" s="1" t="s">
        <v>10</v>
      </c>
      <c r="AD679" s="1" t="s">
        <v>3</v>
      </c>
      <c r="AE679" s="1" t="s">
        <v>1</v>
      </c>
      <c r="AF679" s="1" t="s">
        <v>3</v>
      </c>
      <c r="AG679">
        <f t="shared" si="37"/>
        <v>0</v>
      </c>
    </row>
    <row r="680" spans="27:33" hidden="1" x14ac:dyDescent="0.25">
      <c r="AA680" t="s">
        <v>128</v>
      </c>
      <c r="AB680" s="1" t="s">
        <v>1</v>
      </c>
      <c r="AC680" s="1" t="s">
        <v>2</v>
      </c>
      <c r="AD680" s="1" t="s">
        <v>5</v>
      </c>
      <c r="AE680" s="1" t="s">
        <v>13</v>
      </c>
      <c r="AF680" s="1" t="s">
        <v>5</v>
      </c>
      <c r="AG680">
        <f t="shared" si="37"/>
        <v>0</v>
      </c>
    </row>
    <row r="681" spans="27:33" hidden="1" x14ac:dyDescent="0.25">
      <c r="AA681" t="s">
        <v>1691</v>
      </c>
      <c r="AB681" s="1" t="s">
        <v>4</v>
      </c>
      <c r="AC681" s="1" t="s">
        <v>11</v>
      </c>
      <c r="AD681" s="1" t="s">
        <v>6</v>
      </c>
      <c r="AE681" s="1" t="s">
        <v>5</v>
      </c>
      <c r="AF681" s="1" t="s">
        <v>3</v>
      </c>
      <c r="AG681">
        <f t="shared" si="37"/>
        <v>0</v>
      </c>
    </row>
    <row r="682" spans="27:33" hidden="1" x14ac:dyDescent="0.25">
      <c r="AA682" t="s">
        <v>222</v>
      </c>
      <c r="AB682" s="1" t="s">
        <v>1914</v>
      </c>
      <c r="AC682" s="1" t="s">
        <v>5</v>
      </c>
      <c r="AD682" s="1" t="s">
        <v>1920</v>
      </c>
      <c r="AE682" s="1" t="s">
        <v>10</v>
      </c>
      <c r="AF682" s="1" t="s">
        <v>1</v>
      </c>
      <c r="AG682">
        <f t="shared" si="37"/>
        <v>0</v>
      </c>
    </row>
    <row r="683" spans="27:33" hidden="1" x14ac:dyDescent="0.25">
      <c r="AA683" t="s">
        <v>1746</v>
      </c>
      <c r="AB683" s="1" t="s">
        <v>4</v>
      </c>
      <c r="AC683" s="1" t="s">
        <v>5</v>
      </c>
      <c r="AD683" s="1" t="s">
        <v>2</v>
      </c>
      <c r="AE683" s="1" t="s">
        <v>11</v>
      </c>
      <c r="AF683" s="1" t="s">
        <v>3</v>
      </c>
      <c r="AG683">
        <f t="shared" si="37"/>
        <v>0</v>
      </c>
    </row>
    <row r="684" spans="27:33" hidden="1" x14ac:dyDescent="0.25">
      <c r="AA684" t="s">
        <v>2227</v>
      </c>
      <c r="AB684" s="1" t="s">
        <v>15</v>
      </c>
      <c r="AC684" s="1" t="s">
        <v>1</v>
      </c>
      <c r="AD684" s="1" t="s">
        <v>1914</v>
      </c>
      <c r="AE684" s="1" t="s">
        <v>5</v>
      </c>
      <c r="AF684" s="1" t="s">
        <v>6</v>
      </c>
      <c r="AG684">
        <f t="shared" si="37"/>
        <v>0</v>
      </c>
    </row>
    <row r="685" spans="27:33" hidden="1" x14ac:dyDescent="0.25">
      <c r="AA685" t="s">
        <v>342</v>
      </c>
      <c r="AB685" s="1" t="s">
        <v>0</v>
      </c>
      <c r="AC685" s="1" t="s">
        <v>1</v>
      </c>
      <c r="AD685" s="1" t="s">
        <v>4</v>
      </c>
      <c r="AE685" s="1" t="s">
        <v>11</v>
      </c>
      <c r="AF685" s="1" t="s">
        <v>5</v>
      </c>
      <c r="AG685">
        <f t="shared" si="37"/>
        <v>0</v>
      </c>
    </row>
    <row r="686" spans="27:33" hidden="1" x14ac:dyDescent="0.25">
      <c r="AA686" t="s">
        <v>1562</v>
      </c>
      <c r="AB686" s="1" t="s">
        <v>2</v>
      </c>
      <c r="AC686" s="1" t="s">
        <v>11</v>
      </c>
      <c r="AD686" s="1" t="s">
        <v>1915</v>
      </c>
      <c r="AE686" s="1" t="s">
        <v>1</v>
      </c>
      <c r="AF686" s="1" t="s">
        <v>3</v>
      </c>
      <c r="AG686">
        <f t="shared" si="37"/>
        <v>0</v>
      </c>
    </row>
    <row r="687" spans="27:33" hidden="1" x14ac:dyDescent="0.25">
      <c r="AA687" t="s">
        <v>1241</v>
      </c>
      <c r="AB687" s="1" t="s">
        <v>5</v>
      </c>
      <c r="AC687" s="1" t="s">
        <v>4</v>
      </c>
      <c r="AD687" s="1" t="s">
        <v>5</v>
      </c>
      <c r="AE687" s="1" t="s">
        <v>1916</v>
      </c>
      <c r="AF687" s="1" t="s">
        <v>5</v>
      </c>
      <c r="AG687">
        <f t="shared" si="37"/>
        <v>0</v>
      </c>
    </row>
    <row r="688" spans="27:33" hidden="1" x14ac:dyDescent="0.25">
      <c r="AA688" t="s">
        <v>1641</v>
      </c>
      <c r="AB688" s="1" t="s">
        <v>2</v>
      </c>
      <c r="AC688" s="1" t="s">
        <v>8</v>
      </c>
      <c r="AD688" s="1" t="s">
        <v>2</v>
      </c>
      <c r="AE688" s="1" t="s">
        <v>1917</v>
      </c>
      <c r="AF688" s="1" t="s">
        <v>10</v>
      </c>
      <c r="AG688">
        <f t="shared" si="37"/>
        <v>0</v>
      </c>
    </row>
    <row r="689" spans="27:33" hidden="1" x14ac:dyDescent="0.25">
      <c r="AA689" t="s">
        <v>1658</v>
      </c>
      <c r="AB689" s="1" t="s">
        <v>4</v>
      </c>
      <c r="AC689" s="1" t="s">
        <v>1</v>
      </c>
      <c r="AD689" s="1" t="s">
        <v>6</v>
      </c>
      <c r="AE689" s="1" t="s">
        <v>1921</v>
      </c>
      <c r="AF689" s="1" t="s">
        <v>1</v>
      </c>
      <c r="AG689">
        <f t="shared" si="37"/>
        <v>0</v>
      </c>
    </row>
    <row r="690" spans="27:33" hidden="1" x14ac:dyDescent="0.25">
      <c r="AA690" t="s">
        <v>938</v>
      </c>
      <c r="AB690" s="1" t="s">
        <v>7</v>
      </c>
      <c r="AC690" s="1" t="s">
        <v>11</v>
      </c>
      <c r="AD690" s="1" t="s">
        <v>1921</v>
      </c>
      <c r="AE690" s="1" t="s">
        <v>8</v>
      </c>
      <c r="AF690" s="1" t="s">
        <v>1</v>
      </c>
      <c r="AG690">
        <f t="shared" si="37"/>
        <v>0</v>
      </c>
    </row>
    <row r="691" spans="27:33" hidden="1" x14ac:dyDescent="0.25">
      <c r="AA691" t="s">
        <v>908</v>
      </c>
      <c r="AB691" s="1" t="s">
        <v>14</v>
      </c>
      <c r="AC691" s="1" t="s">
        <v>1</v>
      </c>
      <c r="AD691" s="1" t="s">
        <v>3</v>
      </c>
      <c r="AE691" s="1" t="s">
        <v>13</v>
      </c>
      <c r="AF691" s="1" t="s">
        <v>1</v>
      </c>
      <c r="AG691">
        <f t="shared" si="37"/>
        <v>0</v>
      </c>
    </row>
    <row r="692" spans="27:33" hidden="1" x14ac:dyDescent="0.25">
      <c r="AA692" t="s">
        <v>1043</v>
      </c>
      <c r="AB692" s="1" t="s">
        <v>13</v>
      </c>
      <c r="AC692" s="1" t="s">
        <v>1</v>
      </c>
      <c r="AD692" s="1" t="s">
        <v>1918</v>
      </c>
      <c r="AE692" s="1" t="s">
        <v>5</v>
      </c>
      <c r="AF692" s="1" t="s">
        <v>3</v>
      </c>
      <c r="AG692">
        <f t="shared" si="37"/>
        <v>0</v>
      </c>
    </row>
    <row r="693" spans="27:33" hidden="1" x14ac:dyDescent="0.25">
      <c r="AA693" t="s">
        <v>963</v>
      </c>
      <c r="AB693" s="1" t="s">
        <v>7</v>
      </c>
      <c r="AC693" s="1" t="s">
        <v>10</v>
      </c>
      <c r="AD693" s="1" t="s">
        <v>13</v>
      </c>
      <c r="AE693" s="1" t="s">
        <v>1914</v>
      </c>
      <c r="AF693" s="1" t="s">
        <v>5</v>
      </c>
      <c r="AG693">
        <f t="shared" si="37"/>
        <v>0</v>
      </c>
    </row>
    <row r="694" spans="27:33" hidden="1" x14ac:dyDescent="0.25">
      <c r="AA694" t="s">
        <v>1752</v>
      </c>
      <c r="AB694" s="1" t="s">
        <v>4</v>
      </c>
      <c r="AC694" s="1" t="s">
        <v>3</v>
      </c>
      <c r="AD694" s="1" t="s">
        <v>1</v>
      </c>
      <c r="AE694" s="1" t="s">
        <v>15</v>
      </c>
      <c r="AF694" s="1" t="s">
        <v>11</v>
      </c>
      <c r="AG694">
        <f t="shared" si="37"/>
        <v>0</v>
      </c>
    </row>
    <row r="695" spans="27:33" hidden="1" x14ac:dyDescent="0.25">
      <c r="AA695" t="s">
        <v>146</v>
      </c>
      <c r="AB695" s="1" t="s">
        <v>1</v>
      </c>
      <c r="AC695" s="1" t="s">
        <v>1919</v>
      </c>
      <c r="AD695" s="1" t="s">
        <v>10</v>
      </c>
      <c r="AE695" s="1" t="s">
        <v>1</v>
      </c>
      <c r="AF695" s="1" t="s">
        <v>3</v>
      </c>
      <c r="AG695">
        <f t="shared" si="37"/>
        <v>0</v>
      </c>
    </row>
    <row r="696" spans="27:33" hidden="1" x14ac:dyDescent="0.25">
      <c r="AA696" t="s">
        <v>698</v>
      </c>
      <c r="AB696" s="1" t="s">
        <v>1920</v>
      </c>
      <c r="AC696" s="1" t="s">
        <v>8</v>
      </c>
      <c r="AD696" s="1" t="s">
        <v>1921</v>
      </c>
      <c r="AE696" s="1" t="s">
        <v>1</v>
      </c>
      <c r="AF696" s="1" t="s">
        <v>12</v>
      </c>
      <c r="AG696">
        <f t="shared" si="37"/>
        <v>0</v>
      </c>
    </row>
    <row r="697" spans="27:33" hidden="1" x14ac:dyDescent="0.25">
      <c r="AA697" t="s">
        <v>571</v>
      </c>
      <c r="AB697" s="1" t="s">
        <v>1915</v>
      </c>
      <c r="AC697" s="1" t="s">
        <v>8</v>
      </c>
      <c r="AD697" s="1" t="s">
        <v>1923</v>
      </c>
      <c r="AE697" s="1" t="s">
        <v>8</v>
      </c>
      <c r="AF697" s="1" t="s">
        <v>11</v>
      </c>
      <c r="AG697">
        <f t="shared" si="37"/>
        <v>0</v>
      </c>
    </row>
    <row r="698" spans="27:33" hidden="1" x14ac:dyDescent="0.25">
      <c r="AA698" t="s">
        <v>153</v>
      </c>
      <c r="AB698" s="1" t="s">
        <v>1</v>
      </c>
      <c r="AC698" s="1" t="s">
        <v>12</v>
      </c>
      <c r="AD698" s="1" t="s">
        <v>5</v>
      </c>
      <c r="AE698" s="1" t="s">
        <v>4</v>
      </c>
      <c r="AF698" s="1" t="s">
        <v>11</v>
      </c>
      <c r="AG698">
        <f t="shared" si="37"/>
        <v>0</v>
      </c>
    </row>
    <row r="699" spans="27:33" hidden="1" x14ac:dyDescent="0.25">
      <c r="AA699" t="s">
        <v>606</v>
      </c>
      <c r="AB699" s="1" t="s">
        <v>1920</v>
      </c>
      <c r="AC699" s="1" t="s">
        <v>1</v>
      </c>
      <c r="AD699" s="1" t="s">
        <v>1921</v>
      </c>
      <c r="AE699" s="1" t="s">
        <v>5</v>
      </c>
      <c r="AF699" s="1" t="s">
        <v>4</v>
      </c>
      <c r="AG699">
        <f t="shared" si="37"/>
        <v>0</v>
      </c>
    </row>
    <row r="700" spans="27:33" hidden="1" x14ac:dyDescent="0.25">
      <c r="AA700" t="s">
        <v>451</v>
      </c>
      <c r="AB700" s="1" t="s">
        <v>0</v>
      </c>
      <c r="AC700" s="1" t="s">
        <v>5</v>
      </c>
      <c r="AD700" s="1" t="s">
        <v>9</v>
      </c>
      <c r="AE700" s="1" t="s">
        <v>4</v>
      </c>
      <c r="AF700" s="1" t="s">
        <v>5</v>
      </c>
      <c r="AG700">
        <f t="shared" si="37"/>
        <v>0</v>
      </c>
    </row>
    <row r="701" spans="27:33" hidden="1" x14ac:dyDescent="0.25">
      <c r="AA701" t="s">
        <v>18</v>
      </c>
      <c r="AB701" s="1" t="s">
        <v>1</v>
      </c>
      <c r="AC701" s="1" t="s">
        <v>1914</v>
      </c>
      <c r="AD701" s="1" t="s">
        <v>1</v>
      </c>
      <c r="AE701" s="1" t="s">
        <v>4</v>
      </c>
      <c r="AF701" s="1" t="s">
        <v>11</v>
      </c>
      <c r="AG701">
        <f t="shared" si="37"/>
        <v>0</v>
      </c>
    </row>
    <row r="702" spans="27:33" hidden="1" x14ac:dyDescent="0.25">
      <c r="AA702" t="s">
        <v>1433</v>
      </c>
      <c r="AB702" s="1" t="s">
        <v>3</v>
      </c>
      <c r="AC702" s="1" t="s">
        <v>1</v>
      </c>
      <c r="AD702" s="1" t="s">
        <v>7</v>
      </c>
      <c r="AE702" s="1" t="s">
        <v>11</v>
      </c>
      <c r="AF702" s="1" t="s">
        <v>1</v>
      </c>
      <c r="AG702">
        <f t="shared" si="37"/>
        <v>0</v>
      </c>
    </row>
    <row r="703" spans="27:33" hidden="1" x14ac:dyDescent="0.25">
      <c r="AA703" t="s">
        <v>1572</v>
      </c>
      <c r="AB703" s="1" t="s">
        <v>2</v>
      </c>
      <c r="AC703" s="1" t="s">
        <v>11</v>
      </c>
      <c r="AD703" s="1" t="s">
        <v>1916</v>
      </c>
      <c r="AE703" s="1" t="s">
        <v>5</v>
      </c>
      <c r="AF703" s="1" t="s">
        <v>3</v>
      </c>
      <c r="AG703">
        <f t="shared" si="37"/>
        <v>0</v>
      </c>
    </row>
    <row r="704" spans="27:33" hidden="1" x14ac:dyDescent="0.25">
      <c r="AA704" t="s">
        <v>2100</v>
      </c>
      <c r="AB704" s="1" t="s">
        <v>3</v>
      </c>
      <c r="AC704" s="1" t="s">
        <v>5</v>
      </c>
      <c r="AD704" s="1" t="s">
        <v>0</v>
      </c>
      <c r="AE704" s="1" t="s">
        <v>10</v>
      </c>
      <c r="AF704" s="1" t="s">
        <v>6</v>
      </c>
      <c r="AG704">
        <f t="shared" si="37"/>
        <v>0</v>
      </c>
    </row>
    <row r="705" spans="27:33" hidden="1" x14ac:dyDescent="0.25">
      <c r="AA705" t="s">
        <v>828</v>
      </c>
      <c r="AB705" s="1" t="s">
        <v>1917</v>
      </c>
      <c r="AC705" s="1" t="s">
        <v>5</v>
      </c>
      <c r="AD705" s="1" t="s">
        <v>1914</v>
      </c>
      <c r="AE705" s="1" t="s">
        <v>1914</v>
      </c>
      <c r="AF705" s="1" t="s">
        <v>1918</v>
      </c>
      <c r="AG705">
        <f t="shared" si="37"/>
        <v>0</v>
      </c>
    </row>
    <row r="706" spans="27:33" hidden="1" x14ac:dyDescent="0.25">
      <c r="AA706" t="s">
        <v>374</v>
      </c>
      <c r="AB706" s="1" t="s">
        <v>0</v>
      </c>
      <c r="AC706" s="1" t="s">
        <v>1917</v>
      </c>
      <c r="AD706" s="1" t="s">
        <v>1</v>
      </c>
      <c r="AE706" s="1" t="s">
        <v>9</v>
      </c>
      <c r="AF706" s="1" t="s">
        <v>5</v>
      </c>
      <c r="AG706">
        <f t="shared" si="37"/>
        <v>0</v>
      </c>
    </row>
    <row r="707" spans="27:33" hidden="1" x14ac:dyDescent="0.25">
      <c r="AA707" t="s">
        <v>1782</v>
      </c>
      <c r="AB707" s="1" t="s">
        <v>4</v>
      </c>
      <c r="AC707" s="1" t="s">
        <v>8</v>
      </c>
      <c r="AD707" s="1" t="s">
        <v>6</v>
      </c>
      <c r="AE707" s="1" t="s">
        <v>1915</v>
      </c>
      <c r="AF707" s="1" t="s">
        <v>1</v>
      </c>
      <c r="AG707">
        <f t="shared" ref="AG707:AG770" si="38">IF(AND(Z707&gt;0,Z707&lt;7),AG706+1,0)</f>
        <v>0</v>
      </c>
    </row>
    <row r="708" spans="27:33" hidden="1" x14ac:dyDescent="0.25">
      <c r="AA708" t="s">
        <v>2131</v>
      </c>
      <c r="AB708" s="1" t="s">
        <v>1920</v>
      </c>
      <c r="AC708" s="1" t="s">
        <v>1</v>
      </c>
      <c r="AD708" s="1" t="s">
        <v>15</v>
      </c>
      <c r="AE708" s="1" t="s">
        <v>10</v>
      </c>
      <c r="AF708" s="1" t="s">
        <v>6</v>
      </c>
      <c r="AG708">
        <f t="shared" si="38"/>
        <v>0</v>
      </c>
    </row>
    <row r="709" spans="27:33" hidden="1" x14ac:dyDescent="0.25">
      <c r="AA709" t="s">
        <v>515</v>
      </c>
      <c r="AB709" s="1" t="s">
        <v>1915</v>
      </c>
      <c r="AC709" s="1" t="s">
        <v>11</v>
      </c>
      <c r="AD709" s="1" t="s">
        <v>1914</v>
      </c>
      <c r="AE709" s="1" t="s">
        <v>8</v>
      </c>
      <c r="AF709" s="1" t="s">
        <v>4</v>
      </c>
      <c r="AG709">
        <f t="shared" si="38"/>
        <v>0</v>
      </c>
    </row>
    <row r="710" spans="27:33" hidden="1" x14ac:dyDescent="0.25">
      <c r="AA710" t="s">
        <v>2273</v>
      </c>
      <c r="AB710" s="1" t="s">
        <v>13</v>
      </c>
      <c r="AC710" s="1" t="s">
        <v>5</v>
      </c>
      <c r="AD710" s="1" t="s">
        <v>1919</v>
      </c>
      <c r="AE710" s="1" t="s">
        <v>10</v>
      </c>
      <c r="AF710" s="1" t="s">
        <v>7</v>
      </c>
      <c r="AG710">
        <f t="shared" si="38"/>
        <v>0</v>
      </c>
    </row>
    <row r="711" spans="27:33" hidden="1" x14ac:dyDescent="0.25">
      <c r="AA711" t="s">
        <v>1527</v>
      </c>
      <c r="AB711" s="1" t="s">
        <v>2</v>
      </c>
      <c r="AC711" s="1" t="s">
        <v>1</v>
      </c>
      <c r="AD711" s="1" t="s">
        <v>1914</v>
      </c>
      <c r="AE711" s="1" t="s">
        <v>10</v>
      </c>
      <c r="AF711" s="1" t="s">
        <v>1</v>
      </c>
      <c r="AG711">
        <f t="shared" si="38"/>
        <v>0</v>
      </c>
    </row>
    <row r="712" spans="27:33" hidden="1" x14ac:dyDescent="0.25">
      <c r="AA712" t="s">
        <v>1794</v>
      </c>
      <c r="AB712" s="1" t="s">
        <v>8</v>
      </c>
      <c r="AC712" s="1" t="s">
        <v>7</v>
      </c>
      <c r="AD712" s="1" t="s">
        <v>4</v>
      </c>
      <c r="AE712" s="1" t="s">
        <v>3</v>
      </c>
      <c r="AF712" s="1" t="s">
        <v>1</v>
      </c>
      <c r="AG712">
        <f t="shared" si="38"/>
        <v>0</v>
      </c>
    </row>
    <row r="713" spans="27:33" hidden="1" x14ac:dyDescent="0.25">
      <c r="AA713" t="s">
        <v>141</v>
      </c>
      <c r="AB713" s="1" t="s">
        <v>1</v>
      </c>
      <c r="AC713" s="1" t="s">
        <v>8</v>
      </c>
      <c r="AD713" s="1" t="s">
        <v>9</v>
      </c>
      <c r="AE713" s="1" t="s">
        <v>1</v>
      </c>
      <c r="AF713" s="1" t="s">
        <v>3</v>
      </c>
      <c r="AG713">
        <f t="shared" si="38"/>
        <v>0</v>
      </c>
    </row>
    <row r="714" spans="27:33" hidden="1" x14ac:dyDescent="0.25">
      <c r="AA714" t="s">
        <v>330</v>
      </c>
      <c r="AB714" s="1" t="s">
        <v>0</v>
      </c>
      <c r="AC714" s="1" t="s">
        <v>1</v>
      </c>
      <c r="AD714" s="1" t="s">
        <v>3</v>
      </c>
      <c r="AE714" s="1" t="s">
        <v>10</v>
      </c>
      <c r="AF714" s="1" t="s">
        <v>12</v>
      </c>
      <c r="AG714">
        <f t="shared" si="38"/>
        <v>0</v>
      </c>
    </row>
    <row r="715" spans="27:33" hidden="1" x14ac:dyDescent="0.25">
      <c r="AA715" t="s">
        <v>1715</v>
      </c>
      <c r="AB715" s="1" t="s">
        <v>4</v>
      </c>
      <c r="AC715" s="1" t="s">
        <v>10</v>
      </c>
      <c r="AD715" s="1" t="s">
        <v>13</v>
      </c>
      <c r="AE715" s="1" t="s">
        <v>1914</v>
      </c>
      <c r="AF715" s="1" t="s">
        <v>1</v>
      </c>
      <c r="AG715">
        <f t="shared" si="38"/>
        <v>0</v>
      </c>
    </row>
    <row r="716" spans="27:33" hidden="1" x14ac:dyDescent="0.25">
      <c r="AA716" t="s">
        <v>2118</v>
      </c>
      <c r="AB716" s="1" t="s">
        <v>12</v>
      </c>
      <c r="AC716" s="1" t="s">
        <v>1</v>
      </c>
      <c r="AD716" s="1" t="s">
        <v>10</v>
      </c>
      <c r="AE716" s="1" t="s">
        <v>6</v>
      </c>
      <c r="AF716" s="1" t="s">
        <v>5</v>
      </c>
      <c r="AG716">
        <f t="shared" si="38"/>
        <v>0</v>
      </c>
    </row>
    <row r="717" spans="27:33" hidden="1" x14ac:dyDescent="0.25">
      <c r="AA717" t="s">
        <v>476</v>
      </c>
      <c r="AB717" s="1" t="s">
        <v>0</v>
      </c>
      <c r="AC717" s="1" t="s">
        <v>3</v>
      </c>
      <c r="AD717" s="1" t="s">
        <v>5</v>
      </c>
      <c r="AE717" s="1" t="s">
        <v>13</v>
      </c>
      <c r="AF717" s="1" t="s">
        <v>1</v>
      </c>
      <c r="AG717">
        <f t="shared" si="38"/>
        <v>0</v>
      </c>
    </row>
    <row r="718" spans="27:33" hidden="1" x14ac:dyDescent="0.25">
      <c r="AA718" t="s">
        <v>1504</v>
      </c>
      <c r="AB718" s="1" t="s">
        <v>3</v>
      </c>
      <c r="AC718" s="1" t="s">
        <v>5</v>
      </c>
      <c r="AD718" s="1" t="s">
        <v>2</v>
      </c>
      <c r="AE718" s="1" t="s">
        <v>0</v>
      </c>
      <c r="AF718" s="1" t="s">
        <v>1</v>
      </c>
      <c r="AG718">
        <f t="shared" si="38"/>
        <v>0</v>
      </c>
    </row>
    <row r="719" spans="27:33" hidden="1" x14ac:dyDescent="0.25">
      <c r="AA719" t="s">
        <v>917</v>
      </c>
      <c r="AB719" s="1" t="s">
        <v>7</v>
      </c>
      <c r="AC719" s="1" t="s">
        <v>1</v>
      </c>
      <c r="AD719" s="1" t="s">
        <v>0</v>
      </c>
      <c r="AE719" s="1" t="s">
        <v>3</v>
      </c>
      <c r="AF719" s="1" t="s">
        <v>1</v>
      </c>
      <c r="AG719">
        <f t="shared" si="38"/>
        <v>0</v>
      </c>
    </row>
    <row r="720" spans="27:33" hidden="1" x14ac:dyDescent="0.25">
      <c r="AA720" t="s">
        <v>886</v>
      </c>
      <c r="AB720" s="1" t="s">
        <v>15</v>
      </c>
      <c r="AC720" s="1" t="s">
        <v>1</v>
      </c>
      <c r="AD720" s="1" t="s">
        <v>8</v>
      </c>
      <c r="AE720" s="1" t="s">
        <v>15</v>
      </c>
      <c r="AF720" s="1" t="s">
        <v>1</v>
      </c>
      <c r="AG720">
        <f t="shared" si="38"/>
        <v>0</v>
      </c>
    </row>
    <row r="721" spans="27:33" hidden="1" x14ac:dyDescent="0.25">
      <c r="AA721" t="s">
        <v>1619</v>
      </c>
      <c r="AB721" s="1" t="s">
        <v>2</v>
      </c>
      <c r="AC721" s="1" t="s">
        <v>5</v>
      </c>
      <c r="AD721" s="1" t="s">
        <v>9</v>
      </c>
      <c r="AE721" s="1" t="s">
        <v>5</v>
      </c>
      <c r="AF721" s="1" t="s">
        <v>3</v>
      </c>
      <c r="AG721">
        <f t="shared" si="38"/>
        <v>0</v>
      </c>
    </row>
    <row r="722" spans="27:33" hidden="1" x14ac:dyDescent="0.25">
      <c r="AA722" t="s">
        <v>540</v>
      </c>
      <c r="AB722" s="1" t="s">
        <v>1915</v>
      </c>
      <c r="AC722" s="1" t="s">
        <v>5</v>
      </c>
      <c r="AD722" s="1" t="s">
        <v>1914</v>
      </c>
      <c r="AE722" s="1" t="s">
        <v>7</v>
      </c>
      <c r="AF722" s="1" t="s">
        <v>11</v>
      </c>
      <c r="AG722">
        <f t="shared" si="38"/>
        <v>0</v>
      </c>
    </row>
    <row r="723" spans="27:33" hidden="1" x14ac:dyDescent="0.25">
      <c r="AA723" t="s">
        <v>786</v>
      </c>
      <c r="AB723" s="1" t="s">
        <v>1921</v>
      </c>
      <c r="AC723" s="1" t="s">
        <v>8</v>
      </c>
      <c r="AD723" s="1" t="s">
        <v>11</v>
      </c>
      <c r="AE723" s="1" t="s">
        <v>4</v>
      </c>
      <c r="AF723" s="1" t="s">
        <v>5</v>
      </c>
      <c r="AG723">
        <f t="shared" si="38"/>
        <v>0</v>
      </c>
    </row>
    <row r="724" spans="27:33" hidden="1" x14ac:dyDescent="0.25">
      <c r="AA724" t="s">
        <v>1875</v>
      </c>
      <c r="AB724" s="1" t="s">
        <v>1919</v>
      </c>
      <c r="AC724" s="1" t="s">
        <v>5</v>
      </c>
      <c r="AD724" s="1" t="s">
        <v>4</v>
      </c>
      <c r="AE724" s="1" t="s">
        <v>1</v>
      </c>
      <c r="AF724" s="1" t="s">
        <v>3</v>
      </c>
      <c r="AG724">
        <f t="shared" si="38"/>
        <v>0</v>
      </c>
    </row>
    <row r="725" spans="27:33" hidden="1" x14ac:dyDescent="0.25">
      <c r="AA725" t="s">
        <v>288</v>
      </c>
      <c r="AB725" s="1" t="s">
        <v>0</v>
      </c>
      <c r="AC725" s="1" t="s">
        <v>1</v>
      </c>
      <c r="AD725" s="1" t="s">
        <v>1914</v>
      </c>
      <c r="AE725" s="1" t="s">
        <v>3</v>
      </c>
      <c r="AF725" s="1" t="s">
        <v>1</v>
      </c>
      <c r="AG725">
        <f t="shared" si="38"/>
        <v>0</v>
      </c>
    </row>
    <row r="726" spans="27:33" hidden="1" x14ac:dyDescent="0.25">
      <c r="AA726" t="s">
        <v>1659</v>
      </c>
      <c r="AB726" s="1" t="s">
        <v>4</v>
      </c>
      <c r="AC726" s="1" t="s">
        <v>1</v>
      </c>
      <c r="AD726" s="1" t="s">
        <v>6</v>
      </c>
      <c r="AE726" s="1" t="s">
        <v>1921</v>
      </c>
      <c r="AF726" s="1" t="s">
        <v>5</v>
      </c>
      <c r="AG726">
        <f t="shared" si="38"/>
        <v>0</v>
      </c>
    </row>
    <row r="727" spans="27:33" hidden="1" x14ac:dyDescent="0.25">
      <c r="AA727" t="s">
        <v>39</v>
      </c>
      <c r="AB727" s="1" t="s">
        <v>1</v>
      </c>
      <c r="AC727" s="1" t="s">
        <v>1921</v>
      </c>
      <c r="AD727" s="1" t="s">
        <v>3</v>
      </c>
      <c r="AE727" s="1" t="s">
        <v>10</v>
      </c>
      <c r="AF727" s="1" t="s">
        <v>1</v>
      </c>
      <c r="AG727">
        <f t="shared" si="38"/>
        <v>0</v>
      </c>
    </row>
    <row r="728" spans="27:33" hidden="1" x14ac:dyDescent="0.25">
      <c r="AA728" t="s">
        <v>1413</v>
      </c>
      <c r="AB728" s="1" t="s">
        <v>9</v>
      </c>
      <c r="AC728" s="1" t="s">
        <v>8</v>
      </c>
      <c r="AD728" s="1" t="s">
        <v>6</v>
      </c>
      <c r="AE728" s="1" t="s">
        <v>4</v>
      </c>
      <c r="AF728" s="1" t="s">
        <v>1</v>
      </c>
      <c r="AG728">
        <f t="shared" si="38"/>
        <v>0</v>
      </c>
    </row>
    <row r="729" spans="27:33" hidden="1" x14ac:dyDescent="0.25">
      <c r="AA729" t="s">
        <v>142</v>
      </c>
      <c r="AB729" s="1" t="s">
        <v>1</v>
      </c>
      <c r="AC729" s="1" t="s">
        <v>8</v>
      </c>
      <c r="AD729" s="1" t="s">
        <v>4</v>
      </c>
      <c r="AE729" s="1" t="s">
        <v>5</v>
      </c>
      <c r="AF729" s="1" t="s">
        <v>3</v>
      </c>
      <c r="AG729">
        <f t="shared" si="38"/>
        <v>0</v>
      </c>
    </row>
    <row r="730" spans="27:33" hidden="1" x14ac:dyDescent="0.25">
      <c r="AA730" t="s">
        <v>667</v>
      </c>
      <c r="AB730" s="1" t="s">
        <v>1920</v>
      </c>
      <c r="AC730" s="1" t="s">
        <v>7</v>
      </c>
      <c r="AD730" s="1" t="s">
        <v>5</v>
      </c>
      <c r="AE730" s="1" t="s">
        <v>15</v>
      </c>
      <c r="AF730" s="1" t="s">
        <v>5</v>
      </c>
      <c r="AG730">
        <f t="shared" si="38"/>
        <v>0</v>
      </c>
    </row>
    <row r="731" spans="27:33" hidden="1" x14ac:dyDescent="0.25">
      <c r="AA731" t="s">
        <v>34</v>
      </c>
      <c r="AB731" s="1" t="s">
        <v>1</v>
      </c>
      <c r="AC731" s="1" t="s">
        <v>1915</v>
      </c>
      <c r="AD731" s="1" t="s">
        <v>5</v>
      </c>
      <c r="AE731" s="1" t="s">
        <v>1914</v>
      </c>
      <c r="AF731" s="1" t="s">
        <v>11</v>
      </c>
      <c r="AG731">
        <f t="shared" si="38"/>
        <v>0</v>
      </c>
    </row>
    <row r="732" spans="27:33" hidden="1" x14ac:dyDescent="0.25">
      <c r="AA732" t="s">
        <v>811</v>
      </c>
      <c r="AB732" s="1" t="s">
        <v>1917</v>
      </c>
      <c r="AC732" s="1" t="s">
        <v>11</v>
      </c>
      <c r="AD732" s="1" t="s">
        <v>0</v>
      </c>
      <c r="AE732" s="1" t="s">
        <v>1917</v>
      </c>
      <c r="AF732" s="1" t="s">
        <v>1</v>
      </c>
      <c r="AG732">
        <f t="shared" si="38"/>
        <v>0</v>
      </c>
    </row>
    <row r="733" spans="27:33" hidden="1" x14ac:dyDescent="0.25">
      <c r="AA733" t="s">
        <v>770</v>
      </c>
      <c r="AB733" s="1" t="s">
        <v>1921</v>
      </c>
      <c r="AC733" s="1" t="s">
        <v>3</v>
      </c>
      <c r="AD733" s="1" t="s">
        <v>10</v>
      </c>
      <c r="AE733" s="1" t="s">
        <v>1920</v>
      </c>
      <c r="AF733" s="1" t="s">
        <v>1</v>
      </c>
      <c r="AG733">
        <f t="shared" si="38"/>
        <v>0</v>
      </c>
    </row>
    <row r="734" spans="27:33" hidden="1" x14ac:dyDescent="0.25">
      <c r="AA734" t="s">
        <v>777</v>
      </c>
      <c r="AB734" s="1" t="s">
        <v>1921</v>
      </c>
      <c r="AC734" s="1" t="s">
        <v>3</v>
      </c>
      <c r="AD734" s="1" t="s">
        <v>8</v>
      </c>
      <c r="AE734" s="1" t="s">
        <v>9</v>
      </c>
      <c r="AF734" s="1" t="s">
        <v>1</v>
      </c>
      <c r="AG734">
        <f t="shared" si="38"/>
        <v>0</v>
      </c>
    </row>
    <row r="735" spans="27:33" hidden="1" x14ac:dyDescent="0.25">
      <c r="AA735" t="s">
        <v>1417</v>
      </c>
      <c r="AB735" s="1" t="s">
        <v>1923</v>
      </c>
      <c r="AC735" s="1" t="s">
        <v>8</v>
      </c>
      <c r="AD735" s="1" t="s">
        <v>11</v>
      </c>
      <c r="AE735" s="1" t="s">
        <v>1915</v>
      </c>
      <c r="AF735" s="1" t="s">
        <v>1</v>
      </c>
      <c r="AG735">
        <f t="shared" si="38"/>
        <v>0</v>
      </c>
    </row>
    <row r="736" spans="27:33" hidden="1" x14ac:dyDescent="0.25">
      <c r="AA736" t="s">
        <v>1285</v>
      </c>
      <c r="AB736" s="1" t="s">
        <v>9</v>
      </c>
      <c r="AC736" s="1" t="s">
        <v>1</v>
      </c>
      <c r="AD736" s="1" t="s">
        <v>4</v>
      </c>
      <c r="AE736" s="1" t="s">
        <v>1</v>
      </c>
      <c r="AF736" s="1" t="s">
        <v>2</v>
      </c>
      <c r="AG736">
        <f t="shared" si="38"/>
        <v>0</v>
      </c>
    </row>
    <row r="737" spans="27:33" hidden="1" x14ac:dyDescent="0.25">
      <c r="AA737" t="s">
        <v>954</v>
      </c>
      <c r="AB737" s="1" t="s">
        <v>7</v>
      </c>
      <c r="AC737" s="1" t="s">
        <v>10</v>
      </c>
      <c r="AD737" s="1" t="s">
        <v>0</v>
      </c>
      <c r="AE737" s="1" t="s">
        <v>11</v>
      </c>
      <c r="AF737" s="1" t="s">
        <v>5</v>
      </c>
      <c r="AG737">
        <f t="shared" si="38"/>
        <v>0</v>
      </c>
    </row>
    <row r="738" spans="27:33" hidden="1" x14ac:dyDescent="0.25">
      <c r="AA738" t="s">
        <v>1185</v>
      </c>
      <c r="AB738" s="1" t="s">
        <v>6</v>
      </c>
      <c r="AC738" s="1" t="s">
        <v>5</v>
      </c>
      <c r="AD738" s="1" t="s">
        <v>1919</v>
      </c>
      <c r="AE738" s="1" t="s">
        <v>11</v>
      </c>
      <c r="AF738" s="1" t="s">
        <v>7</v>
      </c>
      <c r="AG738">
        <f t="shared" si="38"/>
        <v>0</v>
      </c>
    </row>
    <row r="739" spans="27:33" hidden="1" x14ac:dyDescent="0.25">
      <c r="AA739" t="s">
        <v>1761</v>
      </c>
      <c r="AB739" s="1" t="s">
        <v>4</v>
      </c>
      <c r="AC739" s="1" t="s">
        <v>3</v>
      </c>
      <c r="AD739" s="1" t="s">
        <v>11</v>
      </c>
      <c r="AE739" s="1" t="s">
        <v>6</v>
      </c>
      <c r="AF739" s="1" t="s">
        <v>1</v>
      </c>
      <c r="AG739">
        <f t="shared" si="38"/>
        <v>0</v>
      </c>
    </row>
    <row r="740" spans="27:33" hidden="1" x14ac:dyDescent="0.25">
      <c r="AA740" t="s">
        <v>1886</v>
      </c>
      <c r="AB740" s="1" t="s">
        <v>1918</v>
      </c>
      <c r="AC740" s="1" t="s">
        <v>11</v>
      </c>
      <c r="AD740" s="1" t="s">
        <v>3</v>
      </c>
      <c r="AE740" s="1" t="s">
        <v>13</v>
      </c>
      <c r="AF740" s="1" t="s">
        <v>1</v>
      </c>
      <c r="AG740">
        <f t="shared" si="38"/>
        <v>0</v>
      </c>
    </row>
    <row r="741" spans="27:33" hidden="1" x14ac:dyDescent="0.25">
      <c r="AA741" t="s">
        <v>1947</v>
      </c>
      <c r="AB741" s="1" t="s">
        <v>1</v>
      </c>
      <c r="AC741" s="1" t="s">
        <v>8</v>
      </c>
      <c r="AD741" s="1" t="s">
        <v>4</v>
      </c>
      <c r="AE741" s="1" t="s">
        <v>5</v>
      </c>
      <c r="AF741" s="1" t="s">
        <v>2</v>
      </c>
      <c r="AG741">
        <f t="shared" si="38"/>
        <v>0</v>
      </c>
    </row>
    <row r="742" spans="27:33" hidden="1" x14ac:dyDescent="0.25">
      <c r="AA742" t="s">
        <v>760</v>
      </c>
      <c r="AB742" s="1" t="s">
        <v>1921</v>
      </c>
      <c r="AC742" s="1" t="s">
        <v>3</v>
      </c>
      <c r="AD742" s="1" t="s">
        <v>1</v>
      </c>
      <c r="AE742" s="1" t="s">
        <v>2</v>
      </c>
      <c r="AF742" s="1" t="s">
        <v>1</v>
      </c>
      <c r="AG742">
        <f t="shared" si="38"/>
        <v>0</v>
      </c>
    </row>
    <row r="743" spans="27:33" hidden="1" x14ac:dyDescent="0.25">
      <c r="AA743" t="s">
        <v>1606</v>
      </c>
      <c r="AB743" s="1" t="s">
        <v>2</v>
      </c>
      <c r="AC743" s="1" t="s">
        <v>5</v>
      </c>
      <c r="AD743" s="1" t="s">
        <v>1914</v>
      </c>
      <c r="AE743" s="1" t="s">
        <v>1</v>
      </c>
      <c r="AF743" s="1" t="s">
        <v>3</v>
      </c>
      <c r="AG743">
        <f t="shared" si="38"/>
        <v>0</v>
      </c>
    </row>
    <row r="744" spans="27:33" hidden="1" x14ac:dyDescent="0.25">
      <c r="AA744" t="s">
        <v>1059</v>
      </c>
      <c r="AB744" s="1" t="s">
        <v>13</v>
      </c>
      <c r="AC744" s="1" t="s">
        <v>11</v>
      </c>
      <c r="AD744" s="1" t="s">
        <v>6</v>
      </c>
      <c r="AE744" s="1" t="s">
        <v>5</v>
      </c>
      <c r="AF744" s="1" t="s">
        <v>3</v>
      </c>
      <c r="AG744">
        <f t="shared" si="38"/>
        <v>0</v>
      </c>
    </row>
    <row r="745" spans="27:33" hidden="1" x14ac:dyDescent="0.25">
      <c r="AA745" t="s">
        <v>915</v>
      </c>
      <c r="AB745" s="1" t="s">
        <v>7</v>
      </c>
      <c r="AC745" s="1" t="s">
        <v>1</v>
      </c>
      <c r="AD745" s="1" t="s">
        <v>0</v>
      </c>
      <c r="AE745" s="1" t="s">
        <v>10</v>
      </c>
      <c r="AF745" s="1" t="s">
        <v>1</v>
      </c>
      <c r="AG745">
        <f t="shared" si="38"/>
        <v>0</v>
      </c>
    </row>
    <row r="746" spans="27:33" hidden="1" x14ac:dyDescent="0.25">
      <c r="AA746" t="s">
        <v>1964</v>
      </c>
      <c r="AB746" s="1" t="s">
        <v>13</v>
      </c>
      <c r="AC746" s="1" t="s">
        <v>1</v>
      </c>
      <c r="AD746" s="1" t="s">
        <v>1921</v>
      </c>
      <c r="AE746" s="1" t="s">
        <v>5</v>
      </c>
      <c r="AF746" s="1" t="s">
        <v>2</v>
      </c>
      <c r="AG746">
        <f t="shared" si="38"/>
        <v>0</v>
      </c>
    </row>
    <row r="747" spans="27:33" hidden="1" x14ac:dyDescent="0.25">
      <c r="AA747" t="s">
        <v>739</v>
      </c>
      <c r="AB747" s="1" t="s">
        <v>1921</v>
      </c>
      <c r="AC747" s="1" t="s">
        <v>5</v>
      </c>
      <c r="AD747" s="1" t="s">
        <v>0</v>
      </c>
      <c r="AE747" s="1" t="s">
        <v>1917</v>
      </c>
      <c r="AF747" s="1" t="s">
        <v>5</v>
      </c>
      <c r="AG747">
        <f t="shared" si="38"/>
        <v>0</v>
      </c>
    </row>
    <row r="748" spans="27:33" hidden="1" x14ac:dyDescent="0.25">
      <c r="AA748" t="s">
        <v>138</v>
      </c>
      <c r="AB748" s="1" t="s">
        <v>1</v>
      </c>
      <c r="AC748" s="1" t="s">
        <v>8</v>
      </c>
      <c r="AD748" s="1" t="s">
        <v>1915</v>
      </c>
      <c r="AE748" s="1" t="s">
        <v>1</v>
      </c>
      <c r="AF748" s="1" t="s">
        <v>12</v>
      </c>
      <c r="AG748">
        <f t="shared" si="38"/>
        <v>0</v>
      </c>
    </row>
    <row r="749" spans="27:33" hidden="1" x14ac:dyDescent="0.25">
      <c r="AA749" t="s">
        <v>939</v>
      </c>
      <c r="AB749" s="1" t="s">
        <v>7</v>
      </c>
      <c r="AC749" s="1" t="s">
        <v>11</v>
      </c>
      <c r="AD749" s="1" t="s">
        <v>15</v>
      </c>
      <c r="AE749" s="1" t="s">
        <v>5</v>
      </c>
      <c r="AF749" s="1" t="s">
        <v>2</v>
      </c>
      <c r="AG749">
        <f t="shared" si="38"/>
        <v>0</v>
      </c>
    </row>
    <row r="750" spans="27:33" hidden="1" x14ac:dyDescent="0.25">
      <c r="AA750" t="s">
        <v>1246</v>
      </c>
      <c r="AB750" s="1" t="s">
        <v>9</v>
      </c>
      <c r="AC750" s="1" t="s">
        <v>1</v>
      </c>
      <c r="AD750" s="1" t="s">
        <v>0</v>
      </c>
      <c r="AE750" s="1" t="s">
        <v>11</v>
      </c>
      <c r="AF750" s="1" t="s">
        <v>3</v>
      </c>
      <c r="AG750">
        <f t="shared" si="38"/>
        <v>0</v>
      </c>
    </row>
    <row r="751" spans="27:33" hidden="1" x14ac:dyDescent="0.25">
      <c r="AA751" t="s">
        <v>297</v>
      </c>
      <c r="AB751" s="1" t="s">
        <v>0</v>
      </c>
      <c r="AC751" s="1" t="s">
        <v>1</v>
      </c>
      <c r="AD751" s="1" t="s">
        <v>7</v>
      </c>
      <c r="AE751" s="1" t="s">
        <v>0</v>
      </c>
      <c r="AF751" s="1" t="s">
        <v>5</v>
      </c>
      <c r="AG751">
        <f t="shared" si="38"/>
        <v>0</v>
      </c>
    </row>
    <row r="752" spans="27:33" hidden="1" x14ac:dyDescent="0.25">
      <c r="AA752" t="s">
        <v>1663</v>
      </c>
      <c r="AB752" s="1" t="s">
        <v>4</v>
      </c>
      <c r="AC752" s="1" t="s">
        <v>1</v>
      </c>
      <c r="AD752" s="1" t="s">
        <v>9</v>
      </c>
      <c r="AE752" s="1" t="s">
        <v>11</v>
      </c>
      <c r="AF752" s="1" t="s">
        <v>5</v>
      </c>
      <c r="AG752">
        <f t="shared" si="38"/>
        <v>0</v>
      </c>
    </row>
    <row r="753" spans="27:33" hidden="1" x14ac:dyDescent="0.25">
      <c r="AA753" t="s">
        <v>1323</v>
      </c>
      <c r="AB753" s="1" t="s">
        <v>9</v>
      </c>
      <c r="AC753" s="1" t="s">
        <v>10</v>
      </c>
      <c r="AD753" s="1" t="s">
        <v>0</v>
      </c>
      <c r="AE753" s="1" t="s">
        <v>1</v>
      </c>
      <c r="AF753" s="1" t="s">
        <v>3</v>
      </c>
      <c r="AG753">
        <f t="shared" si="38"/>
        <v>0</v>
      </c>
    </row>
    <row r="754" spans="27:33" hidden="1" x14ac:dyDescent="0.25">
      <c r="AA754" t="s">
        <v>1957</v>
      </c>
      <c r="AB754" s="1" t="s">
        <v>11</v>
      </c>
      <c r="AC754" s="1" t="s">
        <v>8</v>
      </c>
      <c r="AD754" s="1" t="s">
        <v>3</v>
      </c>
      <c r="AE754" s="1" t="s">
        <v>5</v>
      </c>
      <c r="AF754" s="1" t="s">
        <v>2</v>
      </c>
      <c r="AG754">
        <f t="shared" si="38"/>
        <v>0</v>
      </c>
    </row>
    <row r="755" spans="27:33" hidden="1" x14ac:dyDescent="0.25">
      <c r="AA755" t="s">
        <v>920</v>
      </c>
      <c r="AB755" s="1" t="s">
        <v>7</v>
      </c>
      <c r="AC755" s="1" t="s">
        <v>1</v>
      </c>
      <c r="AD755" s="1" t="s">
        <v>1921</v>
      </c>
      <c r="AE755" s="1" t="s">
        <v>1</v>
      </c>
      <c r="AF755" s="1" t="s">
        <v>3</v>
      </c>
      <c r="AG755">
        <f t="shared" si="38"/>
        <v>0</v>
      </c>
    </row>
    <row r="756" spans="27:33" hidden="1" x14ac:dyDescent="0.25">
      <c r="AA756" t="s">
        <v>1375</v>
      </c>
      <c r="AB756" s="1" t="s">
        <v>9</v>
      </c>
      <c r="AC756" s="1" t="s">
        <v>5</v>
      </c>
      <c r="AD756" s="1" t="s">
        <v>7</v>
      </c>
      <c r="AE756" s="1" t="s">
        <v>7</v>
      </c>
      <c r="AF756" s="1" t="s">
        <v>5</v>
      </c>
      <c r="AG756">
        <f t="shared" si="38"/>
        <v>0</v>
      </c>
    </row>
    <row r="757" spans="27:33" hidden="1" x14ac:dyDescent="0.25">
      <c r="AA757" t="s">
        <v>2277</v>
      </c>
      <c r="AB757" s="1" t="s">
        <v>3</v>
      </c>
      <c r="AC757" s="1" t="s">
        <v>1</v>
      </c>
      <c r="AD757" s="1" t="s">
        <v>4</v>
      </c>
      <c r="AE757" s="1" t="s">
        <v>5</v>
      </c>
      <c r="AF757" s="1" t="s">
        <v>6</v>
      </c>
      <c r="AG757">
        <f t="shared" si="38"/>
        <v>0</v>
      </c>
    </row>
    <row r="758" spans="27:33" hidden="1" x14ac:dyDescent="0.25">
      <c r="AA758" t="s">
        <v>149</v>
      </c>
      <c r="AB758" s="1" t="s">
        <v>1</v>
      </c>
      <c r="AC758" s="1" t="s">
        <v>1922</v>
      </c>
      <c r="AD758" s="1" t="s">
        <v>10</v>
      </c>
      <c r="AE758" s="1" t="s">
        <v>7</v>
      </c>
      <c r="AF758" s="1" t="s">
        <v>1</v>
      </c>
      <c r="AG758">
        <f t="shared" si="38"/>
        <v>0</v>
      </c>
    </row>
    <row r="759" spans="27:33" hidden="1" x14ac:dyDescent="0.25">
      <c r="AA759" t="s">
        <v>1480</v>
      </c>
      <c r="AB759" s="1" t="s">
        <v>3</v>
      </c>
      <c r="AC759" s="1" t="s">
        <v>10</v>
      </c>
      <c r="AD759" s="1" t="s">
        <v>1920</v>
      </c>
      <c r="AE759" s="1" t="s">
        <v>1</v>
      </c>
      <c r="AF759" s="1" t="s">
        <v>3</v>
      </c>
      <c r="AG759">
        <f t="shared" si="38"/>
        <v>0</v>
      </c>
    </row>
    <row r="760" spans="27:33" hidden="1" x14ac:dyDescent="0.25">
      <c r="AA760" t="s">
        <v>1249</v>
      </c>
      <c r="AB760" s="1" t="s">
        <v>9</v>
      </c>
      <c r="AC760" s="1" t="s">
        <v>1</v>
      </c>
      <c r="AD760" s="1" t="s">
        <v>1921</v>
      </c>
      <c r="AE760" s="1" t="s">
        <v>1</v>
      </c>
      <c r="AF760" s="1" t="s">
        <v>3</v>
      </c>
      <c r="AG760">
        <f t="shared" si="38"/>
        <v>0</v>
      </c>
    </row>
    <row r="761" spans="27:33" hidden="1" x14ac:dyDescent="0.25">
      <c r="AA761" t="s">
        <v>1458</v>
      </c>
      <c r="AB761" s="1" t="s">
        <v>3</v>
      </c>
      <c r="AC761" s="1" t="s">
        <v>11</v>
      </c>
      <c r="AD761" s="1" t="s">
        <v>1921</v>
      </c>
      <c r="AE761" s="1" t="s">
        <v>10</v>
      </c>
      <c r="AF761" s="1" t="s">
        <v>5</v>
      </c>
      <c r="AG761">
        <f t="shared" si="38"/>
        <v>0</v>
      </c>
    </row>
    <row r="762" spans="27:33" hidden="1" x14ac:dyDescent="0.25">
      <c r="AA762" t="s">
        <v>992</v>
      </c>
      <c r="AB762" s="1" t="s">
        <v>7</v>
      </c>
      <c r="AC762" s="1" t="s">
        <v>8</v>
      </c>
      <c r="AD762" s="1" t="s">
        <v>11</v>
      </c>
      <c r="AE762" s="1" t="s">
        <v>1921</v>
      </c>
      <c r="AF762" s="1" t="s">
        <v>5</v>
      </c>
      <c r="AG762">
        <f t="shared" si="38"/>
        <v>0</v>
      </c>
    </row>
    <row r="763" spans="27:33" hidden="1" x14ac:dyDescent="0.25">
      <c r="AA763" t="s">
        <v>1207</v>
      </c>
      <c r="AB763" s="1" t="s">
        <v>5</v>
      </c>
      <c r="AC763" s="1" t="s">
        <v>1917</v>
      </c>
      <c r="AD763" s="1" t="s">
        <v>13</v>
      </c>
      <c r="AE763" s="1" t="s">
        <v>10</v>
      </c>
      <c r="AF763" s="1" t="s">
        <v>5</v>
      </c>
      <c r="AG763">
        <f t="shared" si="38"/>
        <v>0</v>
      </c>
    </row>
    <row r="764" spans="27:33" hidden="1" x14ac:dyDescent="0.25">
      <c r="AA764" t="s">
        <v>377</v>
      </c>
      <c r="AB764" s="1" t="s">
        <v>0</v>
      </c>
      <c r="AC764" s="1" t="s">
        <v>1917</v>
      </c>
      <c r="AD764" s="1" t="s">
        <v>1</v>
      </c>
      <c r="AE764" s="1" t="s">
        <v>1919</v>
      </c>
      <c r="AF764" s="1" t="s">
        <v>5</v>
      </c>
      <c r="AG764">
        <f t="shared" si="38"/>
        <v>0</v>
      </c>
    </row>
    <row r="765" spans="27:33" hidden="1" x14ac:dyDescent="0.25">
      <c r="AA765" t="s">
        <v>1159</v>
      </c>
      <c r="AB765" s="1" t="s">
        <v>6</v>
      </c>
      <c r="AC765" s="1" t="s">
        <v>11</v>
      </c>
      <c r="AD765" s="1" t="s">
        <v>8</v>
      </c>
      <c r="AE765" s="1" t="s">
        <v>3</v>
      </c>
      <c r="AF765" s="1" t="s">
        <v>1</v>
      </c>
      <c r="AG765">
        <f t="shared" si="38"/>
        <v>0</v>
      </c>
    </row>
    <row r="766" spans="27:33" hidden="1" x14ac:dyDescent="0.25">
      <c r="AA766" t="s">
        <v>1393</v>
      </c>
      <c r="AB766" s="1" t="s">
        <v>9</v>
      </c>
      <c r="AC766" s="1" t="s">
        <v>3</v>
      </c>
      <c r="AD766" s="1" t="s">
        <v>10</v>
      </c>
      <c r="AE766" s="1" t="s">
        <v>13</v>
      </c>
      <c r="AF766" s="1" t="s">
        <v>5</v>
      </c>
      <c r="AG766">
        <f t="shared" si="38"/>
        <v>0</v>
      </c>
    </row>
    <row r="767" spans="27:33" hidden="1" x14ac:dyDescent="0.25">
      <c r="AA767" t="s">
        <v>395</v>
      </c>
      <c r="AB767" s="1" t="s">
        <v>0</v>
      </c>
      <c r="AC767" s="1" t="s">
        <v>1917</v>
      </c>
      <c r="AD767" s="1" t="s">
        <v>5</v>
      </c>
      <c r="AE767" s="1" t="s">
        <v>12</v>
      </c>
      <c r="AF767" s="1" t="s">
        <v>1</v>
      </c>
      <c r="AG767">
        <f t="shared" si="38"/>
        <v>0</v>
      </c>
    </row>
    <row r="768" spans="27:33" hidden="1" x14ac:dyDescent="0.25">
      <c r="AA768" t="s">
        <v>605</v>
      </c>
      <c r="AB768" s="1" t="s">
        <v>1920</v>
      </c>
      <c r="AC768" s="1" t="s">
        <v>1</v>
      </c>
      <c r="AD768" s="1" t="s">
        <v>11</v>
      </c>
      <c r="AE768" s="1" t="s">
        <v>6</v>
      </c>
      <c r="AF768" s="1" t="s">
        <v>1</v>
      </c>
      <c r="AG768">
        <f t="shared" si="38"/>
        <v>0</v>
      </c>
    </row>
    <row r="769" spans="27:33" hidden="1" x14ac:dyDescent="0.25">
      <c r="AA769" t="s">
        <v>2107</v>
      </c>
      <c r="AB769" s="1" t="s">
        <v>1919</v>
      </c>
      <c r="AC769" s="1" t="s">
        <v>1</v>
      </c>
      <c r="AD769" s="1" t="s">
        <v>7</v>
      </c>
      <c r="AE769" s="1" t="s">
        <v>10</v>
      </c>
      <c r="AF769" s="1" t="s">
        <v>1</v>
      </c>
      <c r="AG769">
        <f t="shared" si="38"/>
        <v>0</v>
      </c>
    </row>
    <row r="770" spans="27:33" hidden="1" x14ac:dyDescent="0.25">
      <c r="AA770" t="s">
        <v>2178</v>
      </c>
      <c r="AB770" s="1" t="s">
        <v>4</v>
      </c>
      <c r="AC770" s="1" t="s">
        <v>5</v>
      </c>
      <c r="AD770" s="1" t="s">
        <v>0</v>
      </c>
      <c r="AE770" s="1" t="s">
        <v>5</v>
      </c>
      <c r="AF770" s="1" t="s">
        <v>6</v>
      </c>
      <c r="AG770">
        <f t="shared" si="38"/>
        <v>0</v>
      </c>
    </row>
    <row r="771" spans="27:33" hidden="1" x14ac:dyDescent="0.25">
      <c r="AA771" t="s">
        <v>546</v>
      </c>
      <c r="AB771" s="1" t="s">
        <v>1915</v>
      </c>
      <c r="AC771" s="1" t="s">
        <v>5</v>
      </c>
      <c r="AD771" s="1" t="s">
        <v>13</v>
      </c>
      <c r="AE771" s="1" t="s">
        <v>1</v>
      </c>
      <c r="AF771" s="1" t="s">
        <v>3</v>
      </c>
      <c r="AG771">
        <f t="shared" ref="AG771:AG834" si="39">IF(AND(Z771&gt;0,Z771&lt;7),AG770+1,0)</f>
        <v>0</v>
      </c>
    </row>
    <row r="772" spans="27:33" hidden="1" x14ac:dyDescent="0.25">
      <c r="AA772" t="s">
        <v>783</v>
      </c>
      <c r="AB772" s="1" t="s">
        <v>1921</v>
      </c>
      <c r="AC772" s="1" t="s">
        <v>8</v>
      </c>
      <c r="AD772" s="1" t="s">
        <v>1</v>
      </c>
      <c r="AE772" s="1" t="s">
        <v>9</v>
      </c>
      <c r="AF772" s="1" t="s">
        <v>5</v>
      </c>
      <c r="AG772">
        <f t="shared" si="39"/>
        <v>0</v>
      </c>
    </row>
    <row r="773" spans="27:33" hidden="1" x14ac:dyDescent="0.25">
      <c r="AA773" t="s">
        <v>2171</v>
      </c>
      <c r="AB773" s="1" t="s">
        <v>0</v>
      </c>
      <c r="AC773" s="1" t="s">
        <v>1</v>
      </c>
      <c r="AD773" s="1" t="s">
        <v>15</v>
      </c>
      <c r="AE773" s="1" t="s">
        <v>5</v>
      </c>
      <c r="AF773" s="1" t="s">
        <v>6</v>
      </c>
      <c r="AG773">
        <f t="shared" si="39"/>
        <v>0</v>
      </c>
    </row>
    <row r="774" spans="27:33" hidden="1" x14ac:dyDescent="0.25">
      <c r="AA774" t="s">
        <v>554</v>
      </c>
      <c r="AB774" s="1" t="s">
        <v>1915</v>
      </c>
      <c r="AC774" s="1" t="s">
        <v>5</v>
      </c>
      <c r="AD774" s="1" t="s">
        <v>4</v>
      </c>
      <c r="AE774" s="1" t="s">
        <v>1</v>
      </c>
      <c r="AF774" s="1" t="s">
        <v>3</v>
      </c>
      <c r="AG774">
        <f t="shared" si="39"/>
        <v>0</v>
      </c>
    </row>
    <row r="775" spans="27:33" hidden="1" x14ac:dyDescent="0.25">
      <c r="AA775" t="s">
        <v>1214</v>
      </c>
      <c r="AB775" s="1" t="s">
        <v>5</v>
      </c>
      <c r="AC775" s="1" t="s">
        <v>14</v>
      </c>
      <c r="AD775" s="1" t="s">
        <v>8</v>
      </c>
      <c r="AE775" s="1" t="s">
        <v>9</v>
      </c>
      <c r="AF775" s="1" t="s">
        <v>1</v>
      </c>
      <c r="AG775">
        <f t="shared" si="39"/>
        <v>0</v>
      </c>
    </row>
    <row r="776" spans="27:33" hidden="1" x14ac:dyDescent="0.25">
      <c r="AA776" t="s">
        <v>72</v>
      </c>
      <c r="AB776" s="1" t="s">
        <v>1</v>
      </c>
      <c r="AC776" s="1" t="s">
        <v>13</v>
      </c>
      <c r="AD776" s="1" t="s">
        <v>1914</v>
      </c>
      <c r="AE776" s="1" t="s">
        <v>5</v>
      </c>
      <c r="AF776" s="1" t="s">
        <v>2</v>
      </c>
      <c r="AG776">
        <f t="shared" si="39"/>
        <v>0</v>
      </c>
    </row>
    <row r="777" spans="27:33" hidden="1" x14ac:dyDescent="0.25">
      <c r="AA777" t="s">
        <v>774</v>
      </c>
      <c r="AB777" s="1" t="s">
        <v>1921</v>
      </c>
      <c r="AC777" s="1" t="s">
        <v>3</v>
      </c>
      <c r="AD777" s="1" t="s">
        <v>10</v>
      </c>
      <c r="AE777" s="1" t="s">
        <v>9</v>
      </c>
      <c r="AF777" s="1" t="s">
        <v>11</v>
      </c>
      <c r="AG777">
        <f t="shared" si="39"/>
        <v>0</v>
      </c>
    </row>
    <row r="778" spans="27:33" hidden="1" x14ac:dyDescent="0.25">
      <c r="AA778" t="s">
        <v>1471</v>
      </c>
      <c r="AB778" s="1" t="s">
        <v>3</v>
      </c>
      <c r="AC778" s="1" t="s">
        <v>11</v>
      </c>
      <c r="AD778" s="1" t="s">
        <v>2</v>
      </c>
      <c r="AE778" s="1" t="s">
        <v>13</v>
      </c>
      <c r="AF778" s="1" t="s">
        <v>1</v>
      </c>
      <c r="AG778">
        <f t="shared" si="39"/>
        <v>0</v>
      </c>
    </row>
    <row r="779" spans="27:33" hidden="1" x14ac:dyDescent="0.25">
      <c r="AA779" t="s">
        <v>853</v>
      </c>
      <c r="AB779" s="1" t="s">
        <v>1917</v>
      </c>
      <c r="AC779" s="1" t="s">
        <v>8</v>
      </c>
      <c r="AD779" s="1" t="s">
        <v>13</v>
      </c>
      <c r="AE779" s="1" t="s">
        <v>8</v>
      </c>
      <c r="AF779" s="1" t="s">
        <v>2</v>
      </c>
      <c r="AG779">
        <f t="shared" si="39"/>
        <v>0</v>
      </c>
    </row>
    <row r="780" spans="27:33" hidden="1" x14ac:dyDescent="0.25">
      <c r="AA780" t="s">
        <v>1856</v>
      </c>
      <c r="AB780" s="1" t="s">
        <v>1919</v>
      </c>
      <c r="AC780" s="1" t="s">
        <v>10</v>
      </c>
      <c r="AD780" s="1" t="s">
        <v>2</v>
      </c>
      <c r="AE780" s="1" t="s">
        <v>1</v>
      </c>
      <c r="AF780" s="1" t="s">
        <v>3</v>
      </c>
      <c r="AG780">
        <f t="shared" si="39"/>
        <v>0</v>
      </c>
    </row>
    <row r="781" spans="27:33" hidden="1" x14ac:dyDescent="0.25">
      <c r="AA781" t="s">
        <v>1023</v>
      </c>
      <c r="AB781" s="1" t="s">
        <v>13</v>
      </c>
      <c r="AC781" s="1" t="s">
        <v>1</v>
      </c>
      <c r="AD781" s="1" t="s">
        <v>6</v>
      </c>
      <c r="AE781" s="1" t="s">
        <v>1915</v>
      </c>
      <c r="AF781" s="1" t="s">
        <v>5</v>
      </c>
      <c r="AG781">
        <f t="shared" si="39"/>
        <v>0</v>
      </c>
    </row>
    <row r="782" spans="27:33" hidden="1" x14ac:dyDescent="0.25">
      <c r="AA782" t="s">
        <v>1895</v>
      </c>
      <c r="AB782" s="1" t="s">
        <v>12</v>
      </c>
      <c r="AC782" s="1" t="s">
        <v>1</v>
      </c>
      <c r="AD782" s="1" t="s">
        <v>1920</v>
      </c>
      <c r="AE782" s="1" t="s">
        <v>10</v>
      </c>
      <c r="AF782" s="1" t="s">
        <v>1</v>
      </c>
      <c r="AG782">
        <f t="shared" si="39"/>
        <v>0</v>
      </c>
    </row>
    <row r="783" spans="27:33" hidden="1" x14ac:dyDescent="0.25">
      <c r="AA783" t="s">
        <v>250</v>
      </c>
      <c r="AB783" s="1" t="s">
        <v>1914</v>
      </c>
      <c r="AC783" s="1" t="s">
        <v>3</v>
      </c>
      <c r="AD783" s="1" t="s">
        <v>11</v>
      </c>
      <c r="AE783" s="1" t="s">
        <v>1919</v>
      </c>
      <c r="AF783" s="1" t="s">
        <v>11</v>
      </c>
      <c r="AG783">
        <f t="shared" si="39"/>
        <v>0</v>
      </c>
    </row>
    <row r="784" spans="27:33" hidden="1" x14ac:dyDescent="0.25">
      <c r="AA784" t="s">
        <v>2040</v>
      </c>
      <c r="AB784" s="1" t="s">
        <v>2</v>
      </c>
      <c r="AC784" s="1" t="s">
        <v>5</v>
      </c>
      <c r="AD784" s="1" t="s">
        <v>7</v>
      </c>
      <c r="AE784" s="1" t="s">
        <v>11</v>
      </c>
      <c r="AF784" s="1" t="s">
        <v>1</v>
      </c>
      <c r="AG784">
        <f t="shared" si="39"/>
        <v>0</v>
      </c>
    </row>
    <row r="785" spans="27:33" hidden="1" x14ac:dyDescent="0.25">
      <c r="AA785" t="s">
        <v>314</v>
      </c>
      <c r="AB785" s="1" t="s">
        <v>0</v>
      </c>
      <c r="AC785" s="1" t="s">
        <v>1</v>
      </c>
      <c r="AD785" s="1" t="s">
        <v>6</v>
      </c>
      <c r="AE785" s="1" t="s">
        <v>5</v>
      </c>
      <c r="AF785" s="1" t="s">
        <v>6</v>
      </c>
      <c r="AG785">
        <f t="shared" si="39"/>
        <v>0</v>
      </c>
    </row>
    <row r="786" spans="27:33" hidden="1" x14ac:dyDescent="0.25">
      <c r="AA786" t="s">
        <v>972</v>
      </c>
      <c r="AB786" s="1" t="s">
        <v>7</v>
      </c>
      <c r="AC786" s="1" t="s">
        <v>10</v>
      </c>
      <c r="AD786" s="1" t="s">
        <v>2</v>
      </c>
      <c r="AE786" s="1" t="s">
        <v>4</v>
      </c>
      <c r="AF786" s="1" t="s">
        <v>1</v>
      </c>
      <c r="AG786">
        <f t="shared" si="39"/>
        <v>0</v>
      </c>
    </row>
    <row r="787" spans="27:33" hidden="1" x14ac:dyDescent="0.25">
      <c r="AA787" t="s">
        <v>389</v>
      </c>
      <c r="AB787" s="1" t="s">
        <v>0</v>
      </c>
      <c r="AC787" s="1" t="s">
        <v>1917</v>
      </c>
      <c r="AD787" s="1" t="s">
        <v>5</v>
      </c>
      <c r="AE787" s="1" t="s">
        <v>0</v>
      </c>
      <c r="AF787" s="1" t="s">
        <v>5</v>
      </c>
      <c r="AG787">
        <f t="shared" si="39"/>
        <v>0</v>
      </c>
    </row>
    <row r="788" spans="27:33" hidden="1" x14ac:dyDescent="0.25">
      <c r="AA788" t="s">
        <v>1119</v>
      </c>
      <c r="AB788" s="1" t="s">
        <v>13</v>
      </c>
      <c r="AC788" s="1" t="s">
        <v>8</v>
      </c>
      <c r="AD788" s="1" t="s">
        <v>0</v>
      </c>
      <c r="AE788" s="1" t="s">
        <v>1917</v>
      </c>
      <c r="AF788" s="1" t="s">
        <v>1</v>
      </c>
      <c r="AG788">
        <f t="shared" si="39"/>
        <v>0</v>
      </c>
    </row>
    <row r="789" spans="27:33" hidden="1" x14ac:dyDescent="0.25">
      <c r="AA789" t="s">
        <v>1721</v>
      </c>
      <c r="AB789" s="1" t="s">
        <v>4</v>
      </c>
      <c r="AC789" s="1" t="s">
        <v>5</v>
      </c>
      <c r="AD789" s="1" t="s">
        <v>0</v>
      </c>
      <c r="AE789" s="1" t="s">
        <v>1</v>
      </c>
      <c r="AF789" s="1" t="s">
        <v>3</v>
      </c>
      <c r="AG789">
        <f t="shared" si="39"/>
        <v>0</v>
      </c>
    </row>
    <row r="790" spans="27:33" hidden="1" x14ac:dyDescent="0.25">
      <c r="AA790" t="s">
        <v>1548</v>
      </c>
      <c r="AB790" s="1" t="s">
        <v>2</v>
      </c>
      <c r="AC790" s="1" t="s">
        <v>1</v>
      </c>
      <c r="AD790" s="1" t="s">
        <v>6</v>
      </c>
      <c r="AE790" s="1" t="s">
        <v>4</v>
      </c>
      <c r="AF790" s="1" t="s">
        <v>1</v>
      </c>
      <c r="AG790">
        <f t="shared" si="39"/>
        <v>0</v>
      </c>
    </row>
    <row r="791" spans="27:33" hidden="1" x14ac:dyDescent="0.25">
      <c r="AA791" t="s">
        <v>860</v>
      </c>
      <c r="AB791" s="1" t="s">
        <v>10</v>
      </c>
      <c r="AC791" s="1" t="s">
        <v>1921</v>
      </c>
      <c r="AD791" s="1" t="s">
        <v>8</v>
      </c>
      <c r="AE791" s="1" t="s">
        <v>1</v>
      </c>
      <c r="AF791" s="1" t="s">
        <v>7</v>
      </c>
      <c r="AG791">
        <f t="shared" si="39"/>
        <v>0</v>
      </c>
    </row>
    <row r="792" spans="27:33" hidden="1" x14ac:dyDescent="0.25">
      <c r="AA792" t="s">
        <v>628</v>
      </c>
      <c r="AB792" s="1" t="s">
        <v>1920</v>
      </c>
      <c r="AC792" s="1" t="s">
        <v>11</v>
      </c>
      <c r="AD792" s="1" t="s">
        <v>0</v>
      </c>
      <c r="AE792" s="1" t="s">
        <v>1917</v>
      </c>
      <c r="AF792" s="1" t="s">
        <v>1</v>
      </c>
      <c r="AG792">
        <f t="shared" si="39"/>
        <v>0</v>
      </c>
    </row>
    <row r="793" spans="27:33" hidden="1" x14ac:dyDescent="0.25">
      <c r="AA793" t="s">
        <v>1616</v>
      </c>
      <c r="AB793" s="1" t="s">
        <v>2</v>
      </c>
      <c r="AC793" s="1" t="s">
        <v>5</v>
      </c>
      <c r="AD793" s="1" t="s">
        <v>1916</v>
      </c>
      <c r="AE793" s="1" t="s">
        <v>1</v>
      </c>
      <c r="AF793" s="1" t="s">
        <v>3</v>
      </c>
      <c r="AG793">
        <f t="shared" si="39"/>
        <v>0</v>
      </c>
    </row>
    <row r="794" spans="27:33" hidden="1" x14ac:dyDescent="0.25">
      <c r="AA794" t="s">
        <v>260</v>
      </c>
      <c r="AB794" s="1" t="s">
        <v>1914</v>
      </c>
      <c r="AC794" s="1" t="s">
        <v>3</v>
      </c>
      <c r="AD794" s="1" t="s">
        <v>8</v>
      </c>
      <c r="AE794" s="1" t="s">
        <v>13</v>
      </c>
      <c r="AF794" s="1" t="s">
        <v>1</v>
      </c>
      <c r="AG794">
        <f t="shared" si="39"/>
        <v>0</v>
      </c>
    </row>
    <row r="795" spans="27:33" hidden="1" x14ac:dyDescent="0.25">
      <c r="AA795" t="s">
        <v>2280</v>
      </c>
      <c r="AB795" s="1" t="s">
        <v>1920</v>
      </c>
      <c r="AC795" s="1" t="s">
        <v>3</v>
      </c>
      <c r="AD795" s="1" t="s">
        <v>11</v>
      </c>
      <c r="AE795" s="1" t="s">
        <v>5</v>
      </c>
      <c r="AF795" s="1" t="s">
        <v>6</v>
      </c>
      <c r="AG795">
        <f t="shared" si="39"/>
        <v>0</v>
      </c>
    </row>
    <row r="796" spans="27:33" hidden="1" x14ac:dyDescent="0.25">
      <c r="AA796" t="b">
        <v>0</v>
      </c>
      <c r="AB796" s="1" t="s">
        <v>1920</v>
      </c>
      <c r="AC796" s="1" t="s">
        <v>1</v>
      </c>
      <c r="AD796" s="1" t="s">
        <v>7</v>
      </c>
      <c r="AE796" s="1" t="s">
        <v>2</v>
      </c>
      <c r="AF796" s="1" t="s">
        <v>5</v>
      </c>
      <c r="AG796">
        <f t="shared" si="39"/>
        <v>0</v>
      </c>
    </row>
    <row r="797" spans="27:33" hidden="1" x14ac:dyDescent="0.25">
      <c r="AA797" t="s">
        <v>1950</v>
      </c>
      <c r="AB797" s="1" t="s">
        <v>1914</v>
      </c>
      <c r="AC797" s="1" t="s">
        <v>11</v>
      </c>
      <c r="AD797" s="1" t="s">
        <v>2</v>
      </c>
      <c r="AE797" s="1" t="s">
        <v>5</v>
      </c>
      <c r="AF797" s="1" t="s">
        <v>2</v>
      </c>
      <c r="AG797">
        <f t="shared" si="39"/>
        <v>0</v>
      </c>
    </row>
    <row r="798" spans="27:33" hidden="1" x14ac:dyDescent="0.25">
      <c r="AA798" t="s">
        <v>309</v>
      </c>
      <c r="AB798" s="1" t="s">
        <v>0</v>
      </c>
      <c r="AC798" s="1" t="s">
        <v>1</v>
      </c>
      <c r="AD798" s="1" t="s">
        <v>13</v>
      </c>
      <c r="AE798" s="1" t="s">
        <v>9</v>
      </c>
      <c r="AF798" s="1" t="s">
        <v>1</v>
      </c>
      <c r="AG798">
        <f t="shared" si="39"/>
        <v>0</v>
      </c>
    </row>
    <row r="799" spans="27:33" hidden="1" x14ac:dyDescent="0.25">
      <c r="AA799" t="s">
        <v>505</v>
      </c>
      <c r="AB799" s="1" t="s">
        <v>0</v>
      </c>
      <c r="AC799" s="1" t="s">
        <v>8</v>
      </c>
      <c r="AD799" s="1" t="s">
        <v>4</v>
      </c>
      <c r="AE799" s="1" t="s">
        <v>10</v>
      </c>
      <c r="AF799" s="1" t="s">
        <v>2</v>
      </c>
      <c r="AG799">
        <f t="shared" si="39"/>
        <v>0</v>
      </c>
    </row>
    <row r="800" spans="27:33" hidden="1" x14ac:dyDescent="0.25">
      <c r="AA800" t="s">
        <v>165</v>
      </c>
      <c r="AB800" s="1" t="s">
        <v>1914</v>
      </c>
      <c r="AC800" s="1" t="s">
        <v>1</v>
      </c>
      <c r="AD800" s="1" t="s">
        <v>7</v>
      </c>
      <c r="AE800" s="1" t="s">
        <v>1915</v>
      </c>
      <c r="AF800" s="1" t="s">
        <v>11</v>
      </c>
      <c r="AG800">
        <f t="shared" si="39"/>
        <v>0</v>
      </c>
    </row>
    <row r="801" spans="27:33" hidden="1" x14ac:dyDescent="0.25">
      <c r="AA801" t="s">
        <v>2143</v>
      </c>
      <c r="AB801" s="1" t="s">
        <v>7</v>
      </c>
      <c r="AC801" s="1" t="s">
        <v>10</v>
      </c>
      <c r="AD801" s="1" t="s">
        <v>1915</v>
      </c>
      <c r="AE801" s="1" t="s">
        <v>11</v>
      </c>
      <c r="AF801" s="1" t="s">
        <v>3</v>
      </c>
      <c r="AG801">
        <f t="shared" si="39"/>
        <v>0</v>
      </c>
    </row>
    <row r="802" spans="27:33" hidden="1" x14ac:dyDescent="0.25">
      <c r="AA802" t="s">
        <v>1945</v>
      </c>
      <c r="AB802" s="1" t="s">
        <v>1</v>
      </c>
      <c r="AC802" s="1" t="s">
        <v>3</v>
      </c>
      <c r="AD802" s="1" t="s">
        <v>3</v>
      </c>
      <c r="AE802" s="1" t="s">
        <v>1</v>
      </c>
      <c r="AF802" s="1" t="s">
        <v>2</v>
      </c>
      <c r="AG802">
        <f t="shared" si="39"/>
        <v>0</v>
      </c>
    </row>
    <row r="803" spans="27:33" hidden="1" x14ac:dyDescent="0.25">
      <c r="AA803" t="s">
        <v>360</v>
      </c>
      <c r="AB803" s="1" t="s">
        <v>0</v>
      </c>
      <c r="AC803" s="1" t="s">
        <v>11</v>
      </c>
      <c r="AD803" s="1" t="s">
        <v>6</v>
      </c>
      <c r="AE803" s="1" t="s">
        <v>1</v>
      </c>
      <c r="AF803" s="1" t="s">
        <v>3</v>
      </c>
      <c r="AG803">
        <f t="shared" si="39"/>
        <v>0</v>
      </c>
    </row>
    <row r="804" spans="27:33" hidden="1" x14ac:dyDescent="0.25">
      <c r="AA804" t="s">
        <v>1462</v>
      </c>
      <c r="AB804" s="1" t="s">
        <v>3</v>
      </c>
      <c r="AC804" s="1" t="s">
        <v>11</v>
      </c>
      <c r="AD804" s="1" t="s">
        <v>10</v>
      </c>
      <c r="AE804" s="1" t="s">
        <v>6</v>
      </c>
      <c r="AF804" s="1" t="s">
        <v>5</v>
      </c>
      <c r="AG804">
        <f t="shared" si="39"/>
        <v>0</v>
      </c>
    </row>
    <row r="805" spans="27:33" hidden="1" x14ac:dyDescent="0.25">
      <c r="AA805" t="s">
        <v>375</v>
      </c>
      <c r="AB805" s="1" t="s">
        <v>0</v>
      </c>
      <c r="AC805" s="1" t="s">
        <v>1917</v>
      </c>
      <c r="AD805" s="1" t="s">
        <v>1</v>
      </c>
      <c r="AE805" s="1" t="s">
        <v>4</v>
      </c>
      <c r="AF805" s="1" t="s">
        <v>1</v>
      </c>
      <c r="AG805">
        <f t="shared" si="39"/>
        <v>0</v>
      </c>
    </row>
    <row r="806" spans="27:33" hidden="1" x14ac:dyDescent="0.25">
      <c r="AA806" t="s">
        <v>322</v>
      </c>
      <c r="AB806" s="1" t="s">
        <v>0</v>
      </c>
      <c r="AC806" s="1" t="s">
        <v>1</v>
      </c>
      <c r="AD806" s="1" t="s">
        <v>9</v>
      </c>
      <c r="AE806" s="1" t="s">
        <v>11</v>
      </c>
      <c r="AF806" s="1" t="s">
        <v>5</v>
      </c>
      <c r="AG806">
        <f t="shared" si="39"/>
        <v>0</v>
      </c>
    </row>
    <row r="807" spans="27:33" hidden="1" x14ac:dyDescent="0.25">
      <c r="AA807" t="s">
        <v>74</v>
      </c>
      <c r="AB807" s="1" t="s">
        <v>1</v>
      </c>
      <c r="AC807" s="1" t="s">
        <v>13</v>
      </c>
      <c r="AD807" s="1" t="s">
        <v>11</v>
      </c>
      <c r="AE807" s="1" t="s">
        <v>6</v>
      </c>
      <c r="AF807" s="1" t="s">
        <v>1</v>
      </c>
      <c r="AG807">
        <f t="shared" si="39"/>
        <v>0</v>
      </c>
    </row>
    <row r="808" spans="27:33" hidden="1" x14ac:dyDescent="0.25">
      <c r="AA808" t="s">
        <v>324</v>
      </c>
      <c r="AB808" s="1" t="s">
        <v>0</v>
      </c>
      <c r="AC808" s="1" t="s">
        <v>1</v>
      </c>
      <c r="AD808" s="1" t="s">
        <v>3</v>
      </c>
      <c r="AE808" s="1" t="s">
        <v>1</v>
      </c>
      <c r="AF808" s="1" t="s">
        <v>1918</v>
      </c>
      <c r="AG808">
        <f t="shared" si="39"/>
        <v>0</v>
      </c>
    </row>
    <row r="809" spans="27:33" hidden="1" x14ac:dyDescent="0.25">
      <c r="AA809" t="s">
        <v>599</v>
      </c>
      <c r="AB809" s="1" t="s">
        <v>11</v>
      </c>
      <c r="AC809" s="1" t="s">
        <v>4</v>
      </c>
      <c r="AD809" s="1" t="s">
        <v>1</v>
      </c>
      <c r="AE809" s="1" t="s">
        <v>6</v>
      </c>
      <c r="AF809" s="1" t="s">
        <v>5</v>
      </c>
      <c r="AG809">
        <f t="shared" si="39"/>
        <v>0</v>
      </c>
    </row>
    <row r="810" spans="27:33" hidden="1" x14ac:dyDescent="0.25">
      <c r="AA810" t="s">
        <v>795</v>
      </c>
      <c r="AB810" s="1" t="s">
        <v>1921</v>
      </c>
      <c r="AC810" s="1" t="s">
        <v>8</v>
      </c>
      <c r="AD810" s="1" t="s">
        <v>2</v>
      </c>
      <c r="AE810" s="1" t="s">
        <v>4</v>
      </c>
      <c r="AF810" s="1" t="s">
        <v>5</v>
      </c>
      <c r="AG810">
        <f t="shared" si="39"/>
        <v>0</v>
      </c>
    </row>
    <row r="811" spans="27:33" hidden="1" x14ac:dyDescent="0.25">
      <c r="AA811" t="s">
        <v>1204</v>
      </c>
      <c r="AB811" s="1" t="s">
        <v>5</v>
      </c>
      <c r="AC811" s="1" t="s">
        <v>0</v>
      </c>
      <c r="AD811" s="1" t="s">
        <v>4</v>
      </c>
      <c r="AE811" s="1" t="s">
        <v>1</v>
      </c>
      <c r="AF811" s="1" t="s">
        <v>7</v>
      </c>
      <c r="AG811">
        <f t="shared" si="39"/>
        <v>0</v>
      </c>
    </row>
    <row r="812" spans="27:33" hidden="1" x14ac:dyDescent="0.25">
      <c r="AA812" t="s">
        <v>748</v>
      </c>
      <c r="AB812" s="1" t="s">
        <v>1921</v>
      </c>
      <c r="AC812" s="1" t="s">
        <v>5</v>
      </c>
      <c r="AD812" s="1" t="s">
        <v>3</v>
      </c>
      <c r="AE812" s="1" t="s">
        <v>3</v>
      </c>
      <c r="AF812" s="1" t="s">
        <v>1</v>
      </c>
      <c r="AG812">
        <f t="shared" si="39"/>
        <v>0</v>
      </c>
    </row>
    <row r="813" spans="27:33" hidden="1" x14ac:dyDescent="0.25">
      <c r="AA813" t="s">
        <v>1139</v>
      </c>
      <c r="AB813" s="1" t="s">
        <v>6</v>
      </c>
      <c r="AC813" s="1" t="s">
        <v>1</v>
      </c>
      <c r="AD813" s="1" t="s">
        <v>0</v>
      </c>
      <c r="AE813" s="1" t="s">
        <v>11</v>
      </c>
      <c r="AF813" s="1" t="s">
        <v>3</v>
      </c>
      <c r="AG813">
        <f t="shared" si="39"/>
        <v>0</v>
      </c>
    </row>
    <row r="814" spans="27:33" hidden="1" x14ac:dyDescent="0.25">
      <c r="AA814" t="s">
        <v>1003</v>
      </c>
      <c r="AB814" s="1" t="s">
        <v>13</v>
      </c>
      <c r="AC814" s="1" t="s">
        <v>1</v>
      </c>
      <c r="AD814" s="1" t="s">
        <v>1915</v>
      </c>
      <c r="AE814" s="1" t="s">
        <v>3</v>
      </c>
      <c r="AF814" s="1" t="s">
        <v>11</v>
      </c>
      <c r="AG814">
        <f t="shared" si="39"/>
        <v>0</v>
      </c>
    </row>
    <row r="815" spans="27:33" hidden="1" x14ac:dyDescent="0.25">
      <c r="AA815" t="s">
        <v>2192</v>
      </c>
      <c r="AB815" s="1" t="s">
        <v>1</v>
      </c>
      <c r="AC815" s="1" t="s">
        <v>3</v>
      </c>
      <c r="AD815" s="1" t="s">
        <v>9</v>
      </c>
      <c r="AE815" s="1" t="s">
        <v>5</v>
      </c>
      <c r="AF815" s="1" t="s">
        <v>6</v>
      </c>
      <c r="AG815">
        <f t="shared" si="39"/>
        <v>0</v>
      </c>
    </row>
    <row r="816" spans="27:33" hidden="1" x14ac:dyDescent="0.25">
      <c r="AA816" t="s">
        <v>188</v>
      </c>
      <c r="AB816" s="1" t="s">
        <v>1914</v>
      </c>
      <c r="AC816" s="1" t="s">
        <v>1</v>
      </c>
      <c r="AD816" s="1" t="s">
        <v>4</v>
      </c>
      <c r="AE816" s="1" t="s">
        <v>11</v>
      </c>
      <c r="AF816" s="1" t="s">
        <v>5</v>
      </c>
      <c r="AG816">
        <f t="shared" si="39"/>
        <v>0</v>
      </c>
    </row>
    <row r="817" spans="27:33" hidden="1" x14ac:dyDescent="0.25">
      <c r="AA817" t="s">
        <v>1862</v>
      </c>
      <c r="AB817" s="1" t="s">
        <v>1919</v>
      </c>
      <c r="AC817" s="1" t="s">
        <v>10</v>
      </c>
      <c r="AD817" s="1" t="s">
        <v>8</v>
      </c>
      <c r="AE817" s="1" t="s">
        <v>1915</v>
      </c>
      <c r="AF817" s="1" t="s">
        <v>1</v>
      </c>
      <c r="AG817">
        <f t="shared" si="39"/>
        <v>0</v>
      </c>
    </row>
    <row r="818" spans="27:33" hidden="1" x14ac:dyDescent="0.25">
      <c r="AA818" t="s">
        <v>652</v>
      </c>
      <c r="AB818" s="1" t="s">
        <v>1920</v>
      </c>
      <c r="AC818" s="1" t="s">
        <v>10</v>
      </c>
      <c r="AD818" s="1" t="s">
        <v>3</v>
      </c>
      <c r="AE818" s="1" t="s">
        <v>13</v>
      </c>
      <c r="AF818" s="1" t="s">
        <v>1</v>
      </c>
      <c r="AG818">
        <f t="shared" si="39"/>
        <v>0</v>
      </c>
    </row>
    <row r="819" spans="27:33" hidden="1" x14ac:dyDescent="0.25">
      <c r="AA819" t="s">
        <v>1264</v>
      </c>
      <c r="AB819" s="1" t="s">
        <v>9</v>
      </c>
      <c r="AC819" s="1" t="s">
        <v>1</v>
      </c>
      <c r="AD819" s="1" t="s">
        <v>9</v>
      </c>
      <c r="AE819" s="1" t="s">
        <v>11</v>
      </c>
      <c r="AF819" s="1" t="s">
        <v>7</v>
      </c>
      <c r="AG819">
        <f t="shared" si="39"/>
        <v>0</v>
      </c>
    </row>
    <row r="820" spans="27:33" hidden="1" x14ac:dyDescent="0.25">
      <c r="AA820" t="s">
        <v>47</v>
      </c>
      <c r="AB820" s="1" t="s">
        <v>1</v>
      </c>
      <c r="AC820" s="1" t="s">
        <v>15</v>
      </c>
      <c r="AD820" s="1" t="s">
        <v>1</v>
      </c>
      <c r="AE820" s="1" t="s">
        <v>1915</v>
      </c>
      <c r="AF820" s="1" t="s">
        <v>1</v>
      </c>
      <c r="AG820">
        <f t="shared" si="39"/>
        <v>0</v>
      </c>
    </row>
    <row r="821" spans="27:33" hidden="1" x14ac:dyDescent="0.25">
      <c r="AA821" t="s">
        <v>2269</v>
      </c>
      <c r="AB821" s="1" t="s">
        <v>1919</v>
      </c>
      <c r="AC821" s="1" t="s">
        <v>1</v>
      </c>
      <c r="AD821" s="1" t="s">
        <v>1921</v>
      </c>
      <c r="AE821" s="1" t="s">
        <v>5</v>
      </c>
      <c r="AF821" s="1" t="s">
        <v>6</v>
      </c>
      <c r="AG821">
        <f t="shared" si="39"/>
        <v>0</v>
      </c>
    </row>
    <row r="822" spans="27:33" hidden="1" x14ac:dyDescent="0.25">
      <c r="AA822" t="s">
        <v>559</v>
      </c>
      <c r="AB822" s="1" t="s">
        <v>1915</v>
      </c>
      <c r="AC822" s="1" t="s">
        <v>3</v>
      </c>
      <c r="AD822" s="1" t="s">
        <v>5</v>
      </c>
      <c r="AE822" s="1" t="s">
        <v>1921</v>
      </c>
      <c r="AF822" s="1" t="s">
        <v>1</v>
      </c>
      <c r="AG822">
        <f t="shared" si="39"/>
        <v>0</v>
      </c>
    </row>
    <row r="823" spans="27:33" hidden="1" x14ac:dyDescent="0.25">
      <c r="AA823" t="s">
        <v>898</v>
      </c>
      <c r="AB823" s="1" t="s">
        <v>15</v>
      </c>
      <c r="AC823" s="1" t="s">
        <v>8</v>
      </c>
      <c r="AD823" s="1" t="s">
        <v>1921</v>
      </c>
      <c r="AE823" s="1" t="s">
        <v>1</v>
      </c>
      <c r="AF823" s="1" t="s">
        <v>3</v>
      </c>
      <c r="AG823">
        <f t="shared" si="39"/>
        <v>0</v>
      </c>
    </row>
    <row r="824" spans="27:33" hidden="1" x14ac:dyDescent="0.25">
      <c r="AA824" t="s">
        <v>384</v>
      </c>
      <c r="AB824" s="1" t="s">
        <v>0</v>
      </c>
      <c r="AC824" s="1" t="s">
        <v>1917</v>
      </c>
      <c r="AD824" s="1" t="s">
        <v>10</v>
      </c>
      <c r="AE824" s="1" t="s">
        <v>7</v>
      </c>
      <c r="AF824" s="1" t="s">
        <v>10</v>
      </c>
      <c r="AG824">
        <f t="shared" si="39"/>
        <v>0</v>
      </c>
    </row>
    <row r="825" spans="27:33" hidden="1" x14ac:dyDescent="0.25">
      <c r="AA825" t="s">
        <v>1538</v>
      </c>
      <c r="AB825" s="1" t="s">
        <v>2</v>
      </c>
      <c r="AC825" s="1" t="s">
        <v>1</v>
      </c>
      <c r="AD825" s="1" t="s">
        <v>7</v>
      </c>
      <c r="AE825" s="1" t="s">
        <v>1915</v>
      </c>
      <c r="AF825" s="1" t="s">
        <v>5</v>
      </c>
      <c r="AG825">
        <f t="shared" si="39"/>
        <v>0</v>
      </c>
    </row>
    <row r="826" spans="27:33" hidden="1" x14ac:dyDescent="0.25">
      <c r="AA826" t="s">
        <v>655</v>
      </c>
      <c r="AB826" s="1" t="s">
        <v>1920</v>
      </c>
      <c r="AC826" s="1" t="s">
        <v>10</v>
      </c>
      <c r="AD826" s="1" t="s">
        <v>2</v>
      </c>
      <c r="AE826" s="1" t="s">
        <v>10</v>
      </c>
      <c r="AF826" s="1" t="s">
        <v>5</v>
      </c>
      <c r="AG826">
        <f t="shared" si="39"/>
        <v>0</v>
      </c>
    </row>
    <row r="827" spans="27:33" hidden="1" x14ac:dyDescent="0.25">
      <c r="AA827" t="s">
        <v>2020</v>
      </c>
      <c r="AB827" s="1" t="s">
        <v>1</v>
      </c>
      <c r="AC827" s="1" t="s">
        <v>0</v>
      </c>
      <c r="AD827" s="1" t="s">
        <v>10</v>
      </c>
      <c r="AE827" s="1" t="s">
        <v>1915</v>
      </c>
      <c r="AF827" s="1" t="s">
        <v>5</v>
      </c>
      <c r="AG827">
        <f t="shared" si="39"/>
        <v>0</v>
      </c>
    </row>
    <row r="828" spans="27:33" hidden="1" x14ac:dyDescent="0.25">
      <c r="AA828" t="s">
        <v>787</v>
      </c>
      <c r="AB828" s="1" t="s">
        <v>1921</v>
      </c>
      <c r="AC828" s="1" t="s">
        <v>8</v>
      </c>
      <c r="AD828" s="1" t="s">
        <v>10</v>
      </c>
      <c r="AE828" s="1" t="s">
        <v>1</v>
      </c>
      <c r="AF828" s="1" t="s">
        <v>3</v>
      </c>
      <c r="AG828">
        <f t="shared" si="39"/>
        <v>0</v>
      </c>
    </row>
    <row r="829" spans="27:33" hidden="1" x14ac:dyDescent="0.25">
      <c r="AA829" t="s">
        <v>312</v>
      </c>
      <c r="AB829" s="1" t="s">
        <v>0</v>
      </c>
      <c r="AC829" s="1" t="s">
        <v>1</v>
      </c>
      <c r="AD829" s="1" t="s">
        <v>6</v>
      </c>
      <c r="AE829" s="1" t="s">
        <v>15</v>
      </c>
      <c r="AF829" s="1" t="s">
        <v>11</v>
      </c>
      <c r="AG829">
        <f t="shared" si="39"/>
        <v>0</v>
      </c>
    </row>
    <row r="830" spans="27:33" hidden="1" x14ac:dyDescent="0.25">
      <c r="AA830" t="s">
        <v>1335</v>
      </c>
      <c r="AB830" s="1" t="s">
        <v>9</v>
      </c>
      <c r="AC830" s="1" t="s">
        <v>10</v>
      </c>
      <c r="AD830" s="1" t="s">
        <v>5</v>
      </c>
      <c r="AE830" s="1" t="s">
        <v>15</v>
      </c>
      <c r="AF830" s="1" t="s">
        <v>5</v>
      </c>
      <c r="AG830">
        <f t="shared" si="39"/>
        <v>0</v>
      </c>
    </row>
    <row r="831" spans="27:33" hidden="1" x14ac:dyDescent="0.25">
      <c r="AA831" t="s">
        <v>1402</v>
      </c>
      <c r="AB831" s="1" t="s">
        <v>9</v>
      </c>
      <c r="AC831" s="1" t="s">
        <v>8</v>
      </c>
      <c r="AD831" s="1" t="s">
        <v>1921</v>
      </c>
      <c r="AE831" s="1" t="s">
        <v>6</v>
      </c>
      <c r="AF831" s="1" t="s">
        <v>1</v>
      </c>
      <c r="AG831">
        <f t="shared" si="39"/>
        <v>0</v>
      </c>
    </row>
    <row r="832" spans="27:33" hidden="1" x14ac:dyDescent="0.25">
      <c r="AA832" t="s">
        <v>1708</v>
      </c>
      <c r="AB832" s="1" t="s">
        <v>4</v>
      </c>
      <c r="AC832" s="1" t="s">
        <v>10</v>
      </c>
      <c r="AD832" s="1" t="s">
        <v>1914</v>
      </c>
      <c r="AE832" s="1" t="s">
        <v>10</v>
      </c>
      <c r="AF832" s="1" t="s">
        <v>5</v>
      </c>
      <c r="AG832">
        <f t="shared" si="39"/>
        <v>0</v>
      </c>
    </row>
    <row r="833" spans="27:33" hidden="1" x14ac:dyDescent="0.25">
      <c r="AA833" t="s">
        <v>685</v>
      </c>
      <c r="AB833" s="1" t="s">
        <v>1920</v>
      </c>
      <c r="AC833" s="1" t="s">
        <v>3</v>
      </c>
      <c r="AD833" s="1" t="s">
        <v>11</v>
      </c>
      <c r="AE833" s="1" t="s">
        <v>2</v>
      </c>
      <c r="AF833" s="1" t="s">
        <v>1</v>
      </c>
      <c r="AG833">
        <f t="shared" si="39"/>
        <v>0</v>
      </c>
    </row>
    <row r="834" spans="27:33" hidden="1" x14ac:dyDescent="0.25">
      <c r="AA834" t="s">
        <v>154</v>
      </c>
      <c r="AB834" s="1" t="s">
        <v>1914</v>
      </c>
      <c r="AC834" s="1" t="s">
        <v>1</v>
      </c>
      <c r="AD834" s="1" t="s">
        <v>1914</v>
      </c>
      <c r="AE834" s="1" t="s">
        <v>11</v>
      </c>
      <c r="AF834" s="1" t="s">
        <v>7</v>
      </c>
      <c r="AG834">
        <f t="shared" si="39"/>
        <v>0</v>
      </c>
    </row>
    <row r="835" spans="27:33" hidden="1" x14ac:dyDescent="0.25">
      <c r="AA835" t="s">
        <v>1850</v>
      </c>
      <c r="AB835" s="1" t="s">
        <v>1919</v>
      </c>
      <c r="AC835" s="1" t="s">
        <v>10</v>
      </c>
      <c r="AD835" s="1" t="s">
        <v>5</v>
      </c>
      <c r="AE835" s="1" t="s">
        <v>7</v>
      </c>
      <c r="AF835" s="1" t="s">
        <v>1</v>
      </c>
      <c r="AG835">
        <f t="shared" ref="AG835:AG898" si="40">IF(AND(Z835&gt;0,Z835&lt;7),AG834+1,0)</f>
        <v>0</v>
      </c>
    </row>
    <row r="836" spans="27:33" hidden="1" x14ac:dyDescent="0.25">
      <c r="AA836" t="s">
        <v>750</v>
      </c>
      <c r="AB836" s="1" t="s">
        <v>1921</v>
      </c>
      <c r="AC836" s="1" t="s">
        <v>5</v>
      </c>
      <c r="AD836" s="1" t="s">
        <v>4</v>
      </c>
      <c r="AE836" s="1" t="s">
        <v>11</v>
      </c>
      <c r="AF836" s="1" t="s">
        <v>5</v>
      </c>
      <c r="AG836">
        <f t="shared" si="40"/>
        <v>0</v>
      </c>
    </row>
    <row r="837" spans="27:33" hidden="1" x14ac:dyDescent="0.25">
      <c r="AA837" t="s">
        <v>1052</v>
      </c>
      <c r="AB837" s="1" t="s">
        <v>13</v>
      </c>
      <c r="AC837" s="1" t="s">
        <v>11</v>
      </c>
      <c r="AD837" s="1" t="s">
        <v>10</v>
      </c>
      <c r="AE837" s="1" t="s">
        <v>1921</v>
      </c>
      <c r="AF837" s="1" t="s">
        <v>1</v>
      </c>
      <c r="AG837">
        <f t="shared" si="40"/>
        <v>0</v>
      </c>
    </row>
    <row r="838" spans="27:33" hidden="1" x14ac:dyDescent="0.25">
      <c r="AA838" t="s">
        <v>2180</v>
      </c>
      <c r="AB838" s="1" t="s">
        <v>4</v>
      </c>
      <c r="AC838" s="1" t="s">
        <v>10</v>
      </c>
      <c r="AD838" s="1" t="s">
        <v>3</v>
      </c>
      <c r="AE838" s="1" t="s">
        <v>5</v>
      </c>
      <c r="AF838" s="1" t="s">
        <v>6</v>
      </c>
      <c r="AG838">
        <f t="shared" si="40"/>
        <v>0</v>
      </c>
    </row>
    <row r="839" spans="27:33" hidden="1" x14ac:dyDescent="0.25">
      <c r="AA839" t="s">
        <v>1903</v>
      </c>
      <c r="AB839" s="1" t="s">
        <v>12</v>
      </c>
      <c r="AC839" s="1" t="s">
        <v>1</v>
      </c>
      <c r="AD839" s="1" t="s">
        <v>3</v>
      </c>
      <c r="AE839" s="1" t="s">
        <v>9</v>
      </c>
      <c r="AF839" s="1" t="s">
        <v>1</v>
      </c>
      <c r="AG839">
        <f t="shared" si="40"/>
        <v>0</v>
      </c>
    </row>
    <row r="840" spans="27:33" hidden="1" x14ac:dyDescent="0.25">
      <c r="AA840" t="s">
        <v>196</v>
      </c>
      <c r="AB840" s="1" t="s">
        <v>1914</v>
      </c>
      <c r="AC840" s="1" t="s">
        <v>11</v>
      </c>
      <c r="AD840" s="1" t="s">
        <v>10</v>
      </c>
      <c r="AE840" s="1" t="s">
        <v>1921</v>
      </c>
      <c r="AF840" s="1" t="s">
        <v>11</v>
      </c>
      <c r="AG840">
        <f t="shared" si="40"/>
        <v>0</v>
      </c>
    </row>
    <row r="841" spans="27:33" hidden="1" x14ac:dyDescent="0.25">
      <c r="AA841" t="s">
        <v>684</v>
      </c>
      <c r="AB841" s="1" t="s">
        <v>1920</v>
      </c>
      <c r="AC841" s="1" t="s">
        <v>3</v>
      </c>
      <c r="AD841" s="1" t="s">
        <v>11</v>
      </c>
      <c r="AE841" s="1" t="s">
        <v>6</v>
      </c>
      <c r="AF841" s="1" t="s">
        <v>5</v>
      </c>
      <c r="AG841">
        <f t="shared" si="40"/>
        <v>0</v>
      </c>
    </row>
    <row r="842" spans="27:33" hidden="1" x14ac:dyDescent="0.25">
      <c r="AA842" t="s">
        <v>730</v>
      </c>
      <c r="AB842" s="1" t="s">
        <v>1921</v>
      </c>
      <c r="AC842" s="1" t="s">
        <v>11</v>
      </c>
      <c r="AD842" s="1" t="s">
        <v>5</v>
      </c>
      <c r="AE842" s="1" t="s">
        <v>1915</v>
      </c>
      <c r="AF842" s="1" t="s">
        <v>1</v>
      </c>
      <c r="AG842">
        <f t="shared" si="40"/>
        <v>0</v>
      </c>
    </row>
    <row r="843" spans="27:33" hidden="1" x14ac:dyDescent="0.25">
      <c r="AA843" t="s">
        <v>1457</v>
      </c>
      <c r="AB843" s="1" t="s">
        <v>3</v>
      </c>
      <c r="AC843" s="1" t="s">
        <v>11</v>
      </c>
      <c r="AD843" s="1" t="s">
        <v>1921</v>
      </c>
      <c r="AE843" s="1" t="s">
        <v>10</v>
      </c>
      <c r="AF843" s="1" t="s">
        <v>1</v>
      </c>
      <c r="AG843">
        <f t="shared" si="40"/>
        <v>0</v>
      </c>
    </row>
    <row r="844" spans="27:33" hidden="1" x14ac:dyDescent="0.25">
      <c r="AA844" t="s">
        <v>1979</v>
      </c>
      <c r="AB844" s="1" t="s">
        <v>13</v>
      </c>
      <c r="AC844" s="1" t="s">
        <v>10</v>
      </c>
      <c r="AD844" s="1" t="s">
        <v>7</v>
      </c>
      <c r="AE844" s="1" t="s">
        <v>11</v>
      </c>
      <c r="AF844" s="1" t="s">
        <v>2</v>
      </c>
      <c r="AG844">
        <f t="shared" si="40"/>
        <v>0</v>
      </c>
    </row>
    <row r="845" spans="27:33" hidden="1" x14ac:dyDescent="0.25">
      <c r="AA845" t="s">
        <v>805</v>
      </c>
      <c r="AB845" s="1" t="s">
        <v>1917</v>
      </c>
      <c r="AC845" s="1" t="s">
        <v>1</v>
      </c>
      <c r="AD845" s="1" t="s">
        <v>3</v>
      </c>
      <c r="AE845" s="1" t="s">
        <v>1</v>
      </c>
      <c r="AF845" s="1" t="s">
        <v>2</v>
      </c>
      <c r="AG845">
        <f t="shared" si="40"/>
        <v>0</v>
      </c>
    </row>
    <row r="846" spans="27:33" hidden="1" x14ac:dyDescent="0.25">
      <c r="AA846" t="s">
        <v>2032</v>
      </c>
      <c r="AB846" s="1" t="s">
        <v>2</v>
      </c>
      <c r="AC846" s="1" t="s">
        <v>1</v>
      </c>
      <c r="AD846" s="1" t="s">
        <v>4</v>
      </c>
      <c r="AE846" s="1" t="s">
        <v>1</v>
      </c>
      <c r="AF846" s="1" t="s">
        <v>6</v>
      </c>
      <c r="AG846">
        <f t="shared" si="40"/>
        <v>0</v>
      </c>
    </row>
    <row r="847" spans="27:33" hidden="1" x14ac:dyDescent="0.25">
      <c r="AA847" t="s">
        <v>1184</v>
      </c>
      <c r="AB847" s="1" t="s">
        <v>6</v>
      </c>
      <c r="AC847" s="1" t="s">
        <v>5</v>
      </c>
      <c r="AD847" s="1" t="s">
        <v>4</v>
      </c>
      <c r="AE847" s="1" t="s">
        <v>1</v>
      </c>
      <c r="AF847" s="1" t="s">
        <v>2</v>
      </c>
      <c r="AG847">
        <f t="shared" si="40"/>
        <v>0</v>
      </c>
    </row>
    <row r="848" spans="27:33" hidden="1" x14ac:dyDescent="0.25">
      <c r="AA848" t="s">
        <v>2135</v>
      </c>
      <c r="AB848" s="1" t="s">
        <v>3</v>
      </c>
      <c r="AC848" s="1" t="s">
        <v>1</v>
      </c>
      <c r="AD848" s="1" t="s">
        <v>10</v>
      </c>
      <c r="AE848" s="1" t="s">
        <v>1915</v>
      </c>
      <c r="AF848" s="1" t="s">
        <v>1</v>
      </c>
      <c r="AG848">
        <f t="shared" si="40"/>
        <v>0</v>
      </c>
    </row>
    <row r="849" spans="27:33" hidden="1" x14ac:dyDescent="0.25">
      <c r="AA849" t="s">
        <v>25</v>
      </c>
      <c r="AB849" s="1" t="s">
        <v>1</v>
      </c>
      <c r="AC849" s="1" t="s">
        <v>0</v>
      </c>
      <c r="AD849" s="1" t="s">
        <v>1</v>
      </c>
      <c r="AE849" s="1" t="s">
        <v>1914</v>
      </c>
      <c r="AF849" s="1" t="s">
        <v>5</v>
      </c>
      <c r="AG849">
        <f t="shared" si="40"/>
        <v>0</v>
      </c>
    </row>
    <row r="850" spans="27:33" hidden="1" x14ac:dyDescent="0.25">
      <c r="AA850" t="s">
        <v>1816</v>
      </c>
      <c r="AB850" s="1" t="s">
        <v>1919</v>
      </c>
      <c r="AC850" s="1" t="s">
        <v>1</v>
      </c>
      <c r="AD850" s="1" t="s">
        <v>3</v>
      </c>
      <c r="AE850" s="1" t="s">
        <v>10</v>
      </c>
      <c r="AF850" s="1" t="s">
        <v>1</v>
      </c>
      <c r="AG850">
        <f t="shared" si="40"/>
        <v>0</v>
      </c>
    </row>
    <row r="851" spans="27:33" hidden="1" x14ac:dyDescent="0.25">
      <c r="AA851" t="s">
        <v>1590</v>
      </c>
      <c r="AB851" s="1" t="s">
        <v>2</v>
      </c>
      <c r="AC851" s="1" t="s">
        <v>10</v>
      </c>
      <c r="AD851" s="1" t="s">
        <v>1921</v>
      </c>
      <c r="AE851" s="1" t="s">
        <v>7</v>
      </c>
      <c r="AF851" s="1" t="s">
        <v>1</v>
      </c>
      <c r="AG851">
        <f t="shared" si="40"/>
        <v>0</v>
      </c>
    </row>
    <row r="852" spans="27:33" hidden="1" x14ac:dyDescent="0.25">
      <c r="AA852" t="s">
        <v>202</v>
      </c>
      <c r="AB852" s="1" t="s">
        <v>1914</v>
      </c>
      <c r="AC852" s="1" t="s">
        <v>11</v>
      </c>
      <c r="AD852" s="1" t="s">
        <v>5</v>
      </c>
      <c r="AE852" s="1" t="s">
        <v>1915</v>
      </c>
      <c r="AF852" s="1" t="s">
        <v>5</v>
      </c>
      <c r="AG852">
        <f t="shared" si="40"/>
        <v>0</v>
      </c>
    </row>
    <row r="853" spans="27:33" hidden="1" x14ac:dyDescent="0.25">
      <c r="AA853" t="s">
        <v>950</v>
      </c>
      <c r="AB853" s="1" t="s">
        <v>7</v>
      </c>
      <c r="AC853" s="1" t="s">
        <v>10</v>
      </c>
      <c r="AD853" s="1" t="s">
        <v>1914</v>
      </c>
      <c r="AE853" s="1" t="s">
        <v>1</v>
      </c>
      <c r="AF853" s="1" t="s">
        <v>3</v>
      </c>
      <c r="AG853">
        <f t="shared" si="40"/>
        <v>0</v>
      </c>
    </row>
    <row r="854" spans="27:33" hidden="1" x14ac:dyDescent="0.25">
      <c r="AA854" t="s">
        <v>1855</v>
      </c>
      <c r="AB854" s="1" t="s">
        <v>1919</v>
      </c>
      <c r="AC854" s="1" t="s">
        <v>10</v>
      </c>
      <c r="AD854" s="1" t="s">
        <v>3</v>
      </c>
      <c r="AE854" s="1" t="s">
        <v>8</v>
      </c>
      <c r="AF854" s="1" t="s">
        <v>2</v>
      </c>
      <c r="AG854">
        <f t="shared" si="40"/>
        <v>0</v>
      </c>
    </row>
    <row r="855" spans="27:33" hidden="1" x14ac:dyDescent="0.25">
      <c r="AA855" t="s">
        <v>1280</v>
      </c>
      <c r="AB855" s="1" t="s">
        <v>9</v>
      </c>
      <c r="AC855" s="1" t="s">
        <v>1</v>
      </c>
      <c r="AD855" s="1" t="s">
        <v>2</v>
      </c>
      <c r="AE855" s="1" t="s">
        <v>11</v>
      </c>
      <c r="AF855" s="1" t="s">
        <v>5</v>
      </c>
      <c r="AG855">
        <f t="shared" si="40"/>
        <v>0</v>
      </c>
    </row>
    <row r="856" spans="27:33" hidden="1" x14ac:dyDescent="0.25">
      <c r="AA856" t="s">
        <v>1058</v>
      </c>
      <c r="AB856" s="1" t="s">
        <v>13</v>
      </c>
      <c r="AC856" s="1" t="s">
        <v>11</v>
      </c>
      <c r="AD856" s="1" t="s">
        <v>6</v>
      </c>
      <c r="AE856" s="1" t="s">
        <v>11</v>
      </c>
      <c r="AF856" s="1" t="s">
        <v>5</v>
      </c>
      <c r="AG856">
        <f t="shared" si="40"/>
        <v>0</v>
      </c>
    </row>
    <row r="857" spans="27:33" hidden="1" x14ac:dyDescent="0.25">
      <c r="AA857" t="s">
        <v>892</v>
      </c>
      <c r="AB857" s="1" t="s">
        <v>15</v>
      </c>
      <c r="AC857" s="1" t="s">
        <v>10</v>
      </c>
      <c r="AD857" s="1" t="s">
        <v>15</v>
      </c>
      <c r="AE857" s="1" t="s">
        <v>1</v>
      </c>
      <c r="AF857" s="1" t="s">
        <v>2</v>
      </c>
      <c r="AG857">
        <f t="shared" si="40"/>
        <v>0</v>
      </c>
    </row>
    <row r="858" spans="27:33" hidden="1" x14ac:dyDescent="0.25">
      <c r="AA858" t="s">
        <v>1428</v>
      </c>
      <c r="AB858" s="1" t="s">
        <v>3</v>
      </c>
      <c r="AC858" s="1" t="s">
        <v>1</v>
      </c>
      <c r="AD858" s="1" t="s">
        <v>0</v>
      </c>
      <c r="AE858" s="1" t="s">
        <v>5</v>
      </c>
      <c r="AF858" s="1" t="s">
        <v>3</v>
      </c>
      <c r="AG858">
        <f t="shared" si="40"/>
        <v>0</v>
      </c>
    </row>
    <row r="859" spans="27:33" hidden="1" x14ac:dyDescent="0.25">
      <c r="AA859" t="s">
        <v>1281</v>
      </c>
      <c r="AB859" s="1" t="s">
        <v>9</v>
      </c>
      <c r="AC859" s="1" t="s">
        <v>1</v>
      </c>
      <c r="AD859" s="1" t="s">
        <v>2</v>
      </c>
      <c r="AE859" s="1" t="s">
        <v>13</v>
      </c>
      <c r="AF859" s="1" t="s">
        <v>1</v>
      </c>
      <c r="AG859">
        <f t="shared" si="40"/>
        <v>0</v>
      </c>
    </row>
    <row r="860" spans="27:33" hidden="1" x14ac:dyDescent="0.25">
      <c r="AA860" t="s">
        <v>532</v>
      </c>
      <c r="AB860" s="1" t="s">
        <v>1915</v>
      </c>
      <c r="AC860" s="1" t="s">
        <v>10</v>
      </c>
      <c r="AD860" s="1" t="s">
        <v>1921</v>
      </c>
      <c r="AE860" s="1" t="s">
        <v>6</v>
      </c>
      <c r="AF860" s="1" t="s">
        <v>1</v>
      </c>
      <c r="AG860">
        <f t="shared" si="40"/>
        <v>0</v>
      </c>
    </row>
    <row r="861" spans="27:33" hidden="1" x14ac:dyDescent="0.25">
      <c r="AA861" t="s">
        <v>277</v>
      </c>
      <c r="AB861" s="1" t="s">
        <v>1914</v>
      </c>
      <c r="AC861" s="1" t="s">
        <v>8</v>
      </c>
      <c r="AD861" s="1" t="s">
        <v>3</v>
      </c>
      <c r="AE861" s="1" t="s">
        <v>10</v>
      </c>
      <c r="AF861" s="1" t="s">
        <v>7</v>
      </c>
      <c r="AG861">
        <f t="shared" si="40"/>
        <v>0</v>
      </c>
    </row>
    <row r="862" spans="27:33" hidden="1" x14ac:dyDescent="0.25">
      <c r="AA862" t="s">
        <v>1060</v>
      </c>
      <c r="AB862" s="1" t="s">
        <v>13</v>
      </c>
      <c r="AC862" s="1" t="s">
        <v>11</v>
      </c>
      <c r="AD862" s="1" t="s">
        <v>6</v>
      </c>
      <c r="AE862" s="1" t="s">
        <v>5</v>
      </c>
      <c r="AF862" s="1" t="s">
        <v>2</v>
      </c>
      <c r="AG862">
        <f t="shared" si="40"/>
        <v>0</v>
      </c>
    </row>
    <row r="863" spans="27:33" hidden="1" x14ac:dyDescent="0.25">
      <c r="AA863" t="s">
        <v>1192</v>
      </c>
      <c r="AB863" s="1" t="s">
        <v>6</v>
      </c>
      <c r="AC863" s="1" t="s">
        <v>8</v>
      </c>
      <c r="AD863" s="1" t="s">
        <v>11</v>
      </c>
      <c r="AE863" s="1" t="s">
        <v>1919</v>
      </c>
      <c r="AF863" s="1" t="s">
        <v>1</v>
      </c>
      <c r="AG863">
        <f t="shared" si="40"/>
        <v>0</v>
      </c>
    </row>
    <row r="864" spans="27:33" hidden="1" x14ac:dyDescent="0.25">
      <c r="AA864" t="s">
        <v>1653</v>
      </c>
      <c r="AB864" s="1" t="s">
        <v>4</v>
      </c>
      <c r="AC864" s="1" t="s">
        <v>1</v>
      </c>
      <c r="AD864" s="1" t="s">
        <v>7</v>
      </c>
      <c r="AE864" s="1" t="s">
        <v>7</v>
      </c>
      <c r="AF864" s="1" t="s">
        <v>5</v>
      </c>
      <c r="AG864">
        <f t="shared" si="40"/>
        <v>0</v>
      </c>
    </row>
    <row r="865" spans="27:33" hidden="1" x14ac:dyDescent="0.25">
      <c r="AA865" t="s">
        <v>609</v>
      </c>
      <c r="AB865" s="1" t="s">
        <v>1920</v>
      </c>
      <c r="AC865" s="1" t="s">
        <v>1</v>
      </c>
      <c r="AD865" s="1" t="s">
        <v>7</v>
      </c>
      <c r="AE865" s="1" t="s">
        <v>1915</v>
      </c>
      <c r="AF865" s="1" t="s">
        <v>1</v>
      </c>
      <c r="AG865">
        <f t="shared" si="40"/>
        <v>0</v>
      </c>
    </row>
    <row r="866" spans="27:33" hidden="1" x14ac:dyDescent="0.25">
      <c r="AA866" t="s">
        <v>1529</v>
      </c>
      <c r="AB866" s="1" t="s">
        <v>2</v>
      </c>
      <c r="AC866" s="1" t="s">
        <v>1</v>
      </c>
      <c r="AD866" s="1" t="s">
        <v>1914</v>
      </c>
      <c r="AE866" s="1" t="s">
        <v>7</v>
      </c>
      <c r="AF866" s="1" t="s">
        <v>11</v>
      </c>
      <c r="AG866">
        <f t="shared" si="40"/>
        <v>0</v>
      </c>
    </row>
    <row r="867" spans="27:33" hidden="1" x14ac:dyDescent="0.25">
      <c r="AA867" t="s">
        <v>1664</v>
      </c>
      <c r="AB867" s="1" t="s">
        <v>4</v>
      </c>
      <c r="AC867" s="1" t="s">
        <v>1</v>
      </c>
      <c r="AD867" s="1" t="s">
        <v>9</v>
      </c>
      <c r="AE867" s="1" t="s">
        <v>10</v>
      </c>
      <c r="AF867" s="1" t="s">
        <v>1</v>
      </c>
      <c r="AG867">
        <f t="shared" si="40"/>
        <v>0</v>
      </c>
    </row>
    <row r="868" spans="27:33" hidden="1" x14ac:dyDescent="0.25">
      <c r="AA868" t="s">
        <v>362</v>
      </c>
      <c r="AB868" s="1" t="s">
        <v>0</v>
      </c>
      <c r="AC868" s="1" t="s">
        <v>11</v>
      </c>
      <c r="AD868" s="1" t="s">
        <v>6</v>
      </c>
      <c r="AE868" s="1" t="s">
        <v>2</v>
      </c>
      <c r="AF868" s="1" t="s">
        <v>5</v>
      </c>
      <c r="AG868">
        <f t="shared" si="40"/>
        <v>0</v>
      </c>
    </row>
    <row r="869" spans="27:33" hidden="1" x14ac:dyDescent="0.25">
      <c r="AA869" t="s">
        <v>1459</v>
      </c>
      <c r="AB869" s="1" t="s">
        <v>3</v>
      </c>
      <c r="AC869" s="1" t="s">
        <v>11</v>
      </c>
      <c r="AD869" s="1" t="s">
        <v>1921</v>
      </c>
      <c r="AE869" s="1" t="s">
        <v>10</v>
      </c>
      <c r="AF869" s="1" t="s">
        <v>3</v>
      </c>
      <c r="AG869">
        <f t="shared" si="40"/>
        <v>0</v>
      </c>
    </row>
    <row r="870" spans="27:33" hidden="1" x14ac:dyDescent="0.25">
      <c r="AA870" t="s">
        <v>1942</v>
      </c>
      <c r="AB870" s="1" t="s">
        <v>1</v>
      </c>
      <c r="AC870" s="1" t="s">
        <v>7</v>
      </c>
      <c r="AD870" s="1" t="s">
        <v>4</v>
      </c>
      <c r="AE870" s="1" t="s">
        <v>5</v>
      </c>
      <c r="AF870" s="1" t="s">
        <v>2</v>
      </c>
      <c r="AG870">
        <f t="shared" si="40"/>
        <v>0</v>
      </c>
    </row>
    <row r="871" spans="27:33" hidden="1" x14ac:dyDescent="0.25">
      <c r="AA871" t="s">
        <v>2267</v>
      </c>
      <c r="AB871" s="1" t="s">
        <v>1919</v>
      </c>
      <c r="AC871" s="1" t="s">
        <v>1</v>
      </c>
      <c r="AD871" s="1" t="s">
        <v>3</v>
      </c>
      <c r="AE871" s="1" t="s">
        <v>5</v>
      </c>
      <c r="AF871" s="1" t="s">
        <v>6</v>
      </c>
      <c r="AG871">
        <f t="shared" si="40"/>
        <v>0</v>
      </c>
    </row>
    <row r="872" spans="27:33" hidden="1" x14ac:dyDescent="0.25">
      <c r="AA872" t="s">
        <v>1206</v>
      </c>
      <c r="AB872" s="1" t="s">
        <v>5</v>
      </c>
      <c r="AC872" s="1" t="s">
        <v>11</v>
      </c>
      <c r="AD872" s="1" t="s">
        <v>2</v>
      </c>
      <c r="AE872" s="1" t="s">
        <v>4</v>
      </c>
      <c r="AF872" s="1" t="s">
        <v>11</v>
      </c>
      <c r="AG872">
        <f t="shared" si="40"/>
        <v>0</v>
      </c>
    </row>
    <row r="873" spans="27:33" hidden="1" x14ac:dyDescent="0.25">
      <c r="AA873" t="s">
        <v>990</v>
      </c>
      <c r="AB873" s="1" t="s">
        <v>7</v>
      </c>
      <c r="AC873" s="1" t="s">
        <v>8</v>
      </c>
      <c r="AD873" s="1" t="s">
        <v>0</v>
      </c>
      <c r="AE873" s="1" t="s">
        <v>10</v>
      </c>
      <c r="AF873" s="1" t="s">
        <v>5</v>
      </c>
      <c r="AG873">
        <f t="shared" si="40"/>
        <v>0</v>
      </c>
    </row>
    <row r="874" spans="27:33" hidden="1" x14ac:dyDescent="0.25">
      <c r="AA874" t="s">
        <v>1901</v>
      </c>
      <c r="AB874" s="1" t="s">
        <v>12</v>
      </c>
      <c r="AC874" s="1" t="s">
        <v>1</v>
      </c>
      <c r="AD874" s="1" t="s">
        <v>6</v>
      </c>
      <c r="AE874" s="1" t="s">
        <v>0</v>
      </c>
      <c r="AF874" s="1" t="s">
        <v>5</v>
      </c>
      <c r="AG874">
        <f t="shared" si="40"/>
        <v>0</v>
      </c>
    </row>
    <row r="875" spans="27:33" hidden="1" x14ac:dyDescent="0.25">
      <c r="AA875" t="s">
        <v>491</v>
      </c>
      <c r="AB875" s="1" t="s">
        <v>0</v>
      </c>
      <c r="AC875" s="1" t="s">
        <v>8</v>
      </c>
      <c r="AD875" s="1" t="s">
        <v>7</v>
      </c>
      <c r="AE875" s="1" t="s">
        <v>4</v>
      </c>
      <c r="AF875" s="1" t="s">
        <v>1</v>
      </c>
      <c r="AG875">
        <f t="shared" si="40"/>
        <v>0</v>
      </c>
    </row>
    <row r="876" spans="27:33" hidden="1" x14ac:dyDescent="0.25">
      <c r="AA876" t="s">
        <v>1318</v>
      </c>
      <c r="AB876" s="1" t="s">
        <v>9</v>
      </c>
      <c r="AC876" s="1" t="s">
        <v>11</v>
      </c>
      <c r="AD876" s="1" t="s">
        <v>2</v>
      </c>
      <c r="AE876" s="1" t="s">
        <v>4</v>
      </c>
      <c r="AF876" s="1" t="s">
        <v>11</v>
      </c>
      <c r="AG876">
        <f t="shared" si="40"/>
        <v>0</v>
      </c>
    </row>
    <row r="877" spans="27:33" hidden="1" x14ac:dyDescent="0.25">
      <c r="AA877" t="s">
        <v>376</v>
      </c>
      <c r="AB877" s="1" t="s">
        <v>0</v>
      </c>
      <c r="AC877" s="1" t="s">
        <v>1917</v>
      </c>
      <c r="AD877" s="1" t="s">
        <v>1</v>
      </c>
      <c r="AE877" s="1" t="s">
        <v>4</v>
      </c>
      <c r="AF877" s="1" t="s">
        <v>5</v>
      </c>
      <c r="AG877">
        <f t="shared" si="40"/>
        <v>0</v>
      </c>
    </row>
    <row r="878" spans="27:33" hidden="1" x14ac:dyDescent="0.25">
      <c r="AA878" t="s">
        <v>468</v>
      </c>
      <c r="AB878" s="1" t="s">
        <v>0</v>
      </c>
      <c r="AC878" s="1" t="s">
        <v>3</v>
      </c>
      <c r="AD878" s="1" t="s">
        <v>11</v>
      </c>
      <c r="AE878" s="1" t="s">
        <v>1</v>
      </c>
      <c r="AF878" s="1" t="s">
        <v>3</v>
      </c>
      <c r="AG878">
        <f t="shared" si="40"/>
        <v>0</v>
      </c>
    </row>
    <row r="879" spans="27:33" hidden="1" x14ac:dyDescent="0.25">
      <c r="AA879" t="s">
        <v>157</v>
      </c>
      <c r="AB879" s="1" t="s">
        <v>1914</v>
      </c>
      <c r="AC879" s="1" t="s">
        <v>1</v>
      </c>
      <c r="AD879" s="1" t="s">
        <v>1914</v>
      </c>
      <c r="AE879" s="1" t="s">
        <v>5</v>
      </c>
      <c r="AF879" s="1" t="s">
        <v>3</v>
      </c>
      <c r="AG879">
        <f t="shared" si="40"/>
        <v>0</v>
      </c>
    </row>
    <row r="880" spans="27:33" hidden="1" x14ac:dyDescent="0.25">
      <c r="AA880" t="s">
        <v>1080</v>
      </c>
      <c r="AB880" s="1" t="s">
        <v>13</v>
      </c>
      <c r="AC880" s="1" t="s">
        <v>10</v>
      </c>
      <c r="AD880" s="1" t="s">
        <v>3</v>
      </c>
      <c r="AE880" s="1" t="s">
        <v>1</v>
      </c>
      <c r="AF880" s="1" t="s">
        <v>3</v>
      </c>
      <c r="AG880">
        <f t="shared" si="40"/>
        <v>0</v>
      </c>
    </row>
    <row r="881" spans="27:33" hidden="1" x14ac:dyDescent="0.25">
      <c r="AA881" t="s">
        <v>1621</v>
      </c>
      <c r="AB881" s="1" t="s">
        <v>2</v>
      </c>
      <c r="AC881" s="1" t="s">
        <v>5</v>
      </c>
      <c r="AD881" s="1" t="s">
        <v>3</v>
      </c>
      <c r="AE881" s="1" t="s">
        <v>1915</v>
      </c>
      <c r="AF881" s="1" t="s">
        <v>1</v>
      </c>
      <c r="AG881">
        <f t="shared" si="40"/>
        <v>0</v>
      </c>
    </row>
    <row r="882" spans="27:33" hidden="1" x14ac:dyDescent="0.25">
      <c r="AA882" t="s">
        <v>488</v>
      </c>
      <c r="AB882" s="1" t="s">
        <v>0</v>
      </c>
      <c r="AC882" s="1" t="s">
        <v>8</v>
      </c>
      <c r="AD882" s="1" t="s">
        <v>11</v>
      </c>
      <c r="AE882" s="1" t="s">
        <v>1919</v>
      </c>
      <c r="AF882" s="1" t="s">
        <v>1</v>
      </c>
      <c r="AG882">
        <f t="shared" si="40"/>
        <v>0</v>
      </c>
    </row>
    <row r="883" spans="27:33" hidden="1" x14ac:dyDescent="0.25">
      <c r="AA883" t="s">
        <v>1712</v>
      </c>
      <c r="AB883" s="1" t="s">
        <v>4</v>
      </c>
      <c r="AC883" s="1" t="s">
        <v>10</v>
      </c>
      <c r="AD883" s="1" t="s">
        <v>1921</v>
      </c>
      <c r="AE883" s="1" t="s">
        <v>3</v>
      </c>
      <c r="AF883" s="1" t="s">
        <v>11</v>
      </c>
      <c r="AG883">
        <f t="shared" si="40"/>
        <v>0</v>
      </c>
    </row>
    <row r="884" spans="27:33" hidden="1" x14ac:dyDescent="0.25">
      <c r="AA884" t="s">
        <v>2018</v>
      </c>
      <c r="AB884" s="1" t="s">
        <v>1920</v>
      </c>
      <c r="AC884" s="1" t="s">
        <v>1</v>
      </c>
      <c r="AD884" s="1" t="s">
        <v>0</v>
      </c>
      <c r="AE884" s="1" t="s">
        <v>10</v>
      </c>
      <c r="AF884" s="1" t="s">
        <v>7</v>
      </c>
      <c r="AG884">
        <f t="shared" si="40"/>
        <v>0</v>
      </c>
    </row>
    <row r="885" spans="27:33" hidden="1" x14ac:dyDescent="0.25">
      <c r="AA885" t="s">
        <v>1439</v>
      </c>
      <c r="AB885" s="1" t="s">
        <v>3</v>
      </c>
      <c r="AC885" s="1" t="s">
        <v>1</v>
      </c>
      <c r="AD885" s="1" t="s">
        <v>9</v>
      </c>
      <c r="AE885" s="1" t="s">
        <v>1</v>
      </c>
      <c r="AF885" s="1" t="s">
        <v>12</v>
      </c>
      <c r="AG885">
        <f t="shared" si="40"/>
        <v>0</v>
      </c>
    </row>
    <row r="886" spans="27:33" hidden="1" x14ac:dyDescent="0.25">
      <c r="AA886" t="s">
        <v>1575</v>
      </c>
      <c r="AB886" s="1" t="s">
        <v>2</v>
      </c>
      <c r="AC886" s="1" t="s">
        <v>11</v>
      </c>
      <c r="AD886" s="1" t="s">
        <v>3</v>
      </c>
      <c r="AE886" s="1" t="s">
        <v>10</v>
      </c>
      <c r="AF886" s="1" t="s">
        <v>1</v>
      </c>
      <c r="AG886">
        <f t="shared" si="40"/>
        <v>0</v>
      </c>
    </row>
    <row r="887" spans="27:33" hidden="1" x14ac:dyDescent="0.25">
      <c r="AA887" t="s">
        <v>2226</v>
      </c>
      <c r="AB887" s="1" t="s">
        <v>1914</v>
      </c>
      <c r="AC887" s="1" t="s">
        <v>10</v>
      </c>
      <c r="AD887" s="1" t="s">
        <v>1915</v>
      </c>
      <c r="AE887" s="1" t="s">
        <v>5</v>
      </c>
      <c r="AF887" s="1" t="s">
        <v>6</v>
      </c>
      <c r="AG887">
        <f t="shared" si="40"/>
        <v>0</v>
      </c>
    </row>
    <row r="888" spans="27:33" hidden="1" x14ac:dyDescent="0.25">
      <c r="AA888" t="s">
        <v>1387</v>
      </c>
      <c r="AB888" s="1" t="s">
        <v>9</v>
      </c>
      <c r="AC888" s="1" t="s">
        <v>5</v>
      </c>
      <c r="AD888" s="1" t="s">
        <v>4</v>
      </c>
      <c r="AE888" s="1" t="s">
        <v>3</v>
      </c>
      <c r="AF888" s="1" t="s">
        <v>1</v>
      </c>
      <c r="AG888">
        <f t="shared" si="40"/>
        <v>0</v>
      </c>
    </row>
    <row r="889" spans="27:33" hidden="1" x14ac:dyDescent="0.25">
      <c r="AA889" t="s">
        <v>1223</v>
      </c>
      <c r="AB889" s="1" t="s">
        <v>5</v>
      </c>
      <c r="AC889" s="1" t="s">
        <v>9</v>
      </c>
      <c r="AD889" s="1" t="s">
        <v>1</v>
      </c>
      <c r="AE889" s="1" t="s">
        <v>0</v>
      </c>
      <c r="AF889" s="1" t="s">
        <v>5</v>
      </c>
      <c r="AG889">
        <f t="shared" si="40"/>
        <v>0</v>
      </c>
    </row>
    <row r="890" spans="27:33" hidden="1" x14ac:dyDescent="0.25">
      <c r="AA890" t="s">
        <v>1359</v>
      </c>
      <c r="AB890" s="1" t="s">
        <v>9</v>
      </c>
      <c r="AC890" s="1" t="s">
        <v>5</v>
      </c>
      <c r="AD890" s="1" t="s">
        <v>1914</v>
      </c>
      <c r="AE890" s="1" t="s">
        <v>3</v>
      </c>
      <c r="AF890" s="1" t="s">
        <v>11</v>
      </c>
      <c r="AG890">
        <f t="shared" si="40"/>
        <v>0</v>
      </c>
    </row>
    <row r="891" spans="27:33" hidden="1" x14ac:dyDescent="0.25">
      <c r="AA891" t="s">
        <v>1416</v>
      </c>
      <c r="AB891" s="1" t="s">
        <v>1923</v>
      </c>
      <c r="AC891" s="1" t="s">
        <v>8</v>
      </c>
      <c r="AD891" s="1" t="s">
        <v>1</v>
      </c>
      <c r="AE891" s="1" t="s">
        <v>3</v>
      </c>
      <c r="AF891" s="1" t="s">
        <v>14</v>
      </c>
      <c r="AG891">
        <f t="shared" si="40"/>
        <v>0</v>
      </c>
    </row>
    <row r="892" spans="27:33" hidden="1" x14ac:dyDescent="0.25">
      <c r="AA892" t="s">
        <v>1145</v>
      </c>
      <c r="AB892" s="1" t="s">
        <v>6</v>
      </c>
      <c r="AC892" s="1" t="s">
        <v>1</v>
      </c>
      <c r="AD892" s="1" t="s">
        <v>10</v>
      </c>
      <c r="AE892" s="1" t="s">
        <v>9</v>
      </c>
      <c r="AF892" s="1" t="s">
        <v>11</v>
      </c>
      <c r="AG892">
        <f t="shared" si="40"/>
        <v>0</v>
      </c>
    </row>
    <row r="893" spans="27:33" hidden="1" x14ac:dyDescent="0.25">
      <c r="AA893" t="s">
        <v>2149</v>
      </c>
      <c r="AB893" s="1" t="s">
        <v>10</v>
      </c>
      <c r="AC893" s="1" t="s">
        <v>6</v>
      </c>
      <c r="AD893" s="1" t="s">
        <v>1915</v>
      </c>
      <c r="AE893" s="1" t="s">
        <v>11</v>
      </c>
      <c r="AF893" s="1" t="s">
        <v>1922</v>
      </c>
      <c r="AG893">
        <f t="shared" si="40"/>
        <v>0</v>
      </c>
    </row>
    <row r="894" spans="27:33" hidden="1" x14ac:dyDescent="0.25">
      <c r="AA894" t="s">
        <v>1088</v>
      </c>
      <c r="AB894" s="1" t="s">
        <v>13</v>
      </c>
      <c r="AC894" s="1" t="s">
        <v>10</v>
      </c>
      <c r="AD894" s="1" t="s">
        <v>4</v>
      </c>
      <c r="AE894" s="1" t="s">
        <v>1</v>
      </c>
      <c r="AF894" s="1" t="s">
        <v>1915</v>
      </c>
      <c r="AG894">
        <f t="shared" si="40"/>
        <v>0</v>
      </c>
    </row>
    <row r="895" spans="27:33" hidden="1" x14ac:dyDescent="0.25">
      <c r="AA895" t="s">
        <v>2271</v>
      </c>
      <c r="AB895" s="1" t="s">
        <v>9</v>
      </c>
      <c r="AC895" s="1" t="s">
        <v>11</v>
      </c>
      <c r="AD895" s="1" t="s">
        <v>7</v>
      </c>
      <c r="AE895" s="1" t="s">
        <v>5</v>
      </c>
      <c r="AF895" s="1" t="s">
        <v>6</v>
      </c>
      <c r="AG895">
        <f t="shared" si="40"/>
        <v>0</v>
      </c>
    </row>
    <row r="896" spans="27:33" hidden="1" x14ac:dyDescent="0.25">
      <c r="AA896" t="s">
        <v>490</v>
      </c>
      <c r="AB896" s="1" t="s">
        <v>0</v>
      </c>
      <c r="AC896" s="1" t="s">
        <v>8</v>
      </c>
      <c r="AD896" s="1" t="s">
        <v>7</v>
      </c>
      <c r="AE896" s="1" t="s">
        <v>9</v>
      </c>
      <c r="AF896" s="1" t="s">
        <v>1</v>
      </c>
      <c r="AG896">
        <f t="shared" si="40"/>
        <v>0</v>
      </c>
    </row>
    <row r="897" spans="27:33" hidden="1" x14ac:dyDescent="0.25">
      <c r="AA897" t="s">
        <v>806</v>
      </c>
      <c r="AB897" s="1" t="s">
        <v>1917</v>
      </c>
      <c r="AC897" s="1" t="s">
        <v>1</v>
      </c>
      <c r="AD897" s="1" t="s">
        <v>3</v>
      </c>
      <c r="AE897" s="1" t="s">
        <v>9</v>
      </c>
      <c r="AF897" s="1" t="s">
        <v>1</v>
      </c>
      <c r="AG897">
        <f t="shared" si="40"/>
        <v>0</v>
      </c>
    </row>
    <row r="898" spans="27:33" hidden="1" x14ac:dyDescent="0.25">
      <c r="AA898" t="s">
        <v>2284</v>
      </c>
      <c r="AB898" s="1" t="s">
        <v>2</v>
      </c>
      <c r="AC898" s="1" t="s">
        <v>1</v>
      </c>
      <c r="AD898" s="1" t="s">
        <v>7</v>
      </c>
      <c r="AE898" s="1" t="s">
        <v>5</v>
      </c>
      <c r="AF898" s="1" t="s">
        <v>6</v>
      </c>
      <c r="AG898">
        <f t="shared" si="40"/>
        <v>0</v>
      </c>
    </row>
    <row r="899" spans="27:33" hidden="1" x14ac:dyDescent="0.25">
      <c r="AA899" t="s">
        <v>856</v>
      </c>
      <c r="AB899" s="1" t="s">
        <v>10</v>
      </c>
      <c r="AC899" s="1" t="s">
        <v>0</v>
      </c>
      <c r="AD899" s="1" t="s">
        <v>5</v>
      </c>
      <c r="AE899" s="1" t="s">
        <v>6</v>
      </c>
      <c r="AF899" s="1" t="s">
        <v>5</v>
      </c>
      <c r="AG899">
        <f t="shared" ref="AG899:AG962" si="41">IF(AND(Z899&gt;0,Z899&lt;7),AG898+1,0)</f>
        <v>0</v>
      </c>
    </row>
    <row r="900" spans="27:33" hidden="1" x14ac:dyDescent="0.25">
      <c r="AA900" t="s">
        <v>2238</v>
      </c>
      <c r="AB900" s="1" t="s">
        <v>5</v>
      </c>
      <c r="AC900" s="1" t="s">
        <v>6</v>
      </c>
      <c r="AD900" s="1" t="s">
        <v>10</v>
      </c>
      <c r="AE900" s="1" t="s">
        <v>0</v>
      </c>
      <c r="AF900" s="1" t="s">
        <v>11</v>
      </c>
      <c r="AG900">
        <f t="shared" si="41"/>
        <v>0</v>
      </c>
    </row>
    <row r="901" spans="27:33" hidden="1" x14ac:dyDescent="0.25">
      <c r="AA901" t="s">
        <v>965</v>
      </c>
      <c r="AB901" s="1" t="s">
        <v>7</v>
      </c>
      <c r="AC901" s="1" t="s">
        <v>10</v>
      </c>
      <c r="AD901" s="1" t="s">
        <v>6</v>
      </c>
      <c r="AE901" s="1" t="s">
        <v>1915</v>
      </c>
      <c r="AF901" s="1" t="s">
        <v>1</v>
      </c>
      <c r="AG901">
        <f t="shared" si="41"/>
        <v>0</v>
      </c>
    </row>
    <row r="902" spans="27:33" hidden="1" x14ac:dyDescent="0.25">
      <c r="AA902" t="s">
        <v>736</v>
      </c>
      <c r="AB902" s="1" t="s">
        <v>1921</v>
      </c>
      <c r="AC902" s="1" t="s">
        <v>6</v>
      </c>
      <c r="AD902" s="1" t="s">
        <v>5</v>
      </c>
      <c r="AE902" s="1" t="s">
        <v>13</v>
      </c>
      <c r="AF902" s="1" t="s">
        <v>5</v>
      </c>
      <c r="AG902">
        <f t="shared" si="41"/>
        <v>0</v>
      </c>
    </row>
    <row r="903" spans="27:33" hidden="1" x14ac:dyDescent="0.25">
      <c r="AA903" t="s">
        <v>1670</v>
      </c>
      <c r="AB903" s="1" t="s">
        <v>4</v>
      </c>
      <c r="AC903" s="1" t="s">
        <v>1</v>
      </c>
      <c r="AD903" s="1" t="s">
        <v>3</v>
      </c>
      <c r="AE903" s="1" t="s">
        <v>3</v>
      </c>
      <c r="AF903" s="1" t="s">
        <v>5</v>
      </c>
      <c r="AG903">
        <f t="shared" si="41"/>
        <v>0</v>
      </c>
    </row>
    <row r="904" spans="27:33" hidden="1" x14ac:dyDescent="0.25">
      <c r="AA904" t="s">
        <v>1634</v>
      </c>
      <c r="AB904" s="1" t="s">
        <v>2</v>
      </c>
      <c r="AC904" s="1" t="s">
        <v>8</v>
      </c>
      <c r="AD904" s="1" t="s">
        <v>11</v>
      </c>
      <c r="AE904" s="1" t="s">
        <v>1916</v>
      </c>
      <c r="AF904" s="1" t="s">
        <v>5</v>
      </c>
      <c r="AG904">
        <f t="shared" si="41"/>
        <v>0</v>
      </c>
    </row>
    <row r="905" spans="27:33" hidden="1" x14ac:dyDescent="0.25">
      <c r="AA905" t="s">
        <v>471</v>
      </c>
      <c r="AB905" s="1" t="s">
        <v>0</v>
      </c>
      <c r="AC905" s="1" t="s">
        <v>3</v>
      </c>
      <c r="AD905" s="1" t="s">
        <v>11</v>
      </c>
      <c r="AE905" s="1" t="s">
        <v>13</v>
      </c>
      <c r="AF905" s="1" t="s">
        <v>1</v>
      </c>
      <c r="AG905">
        <f t="shared" si="41"/>
        <v>0</v>
      </c>
    </row>
    <row r="906" spans="27:33" hidden="1" x14ac:dyDescent="0.25">
      <c r="AA906" t="s">
        <v>1518</v>
      </c>
      <c r="AB906" s="1" t="s">
        <v>3</v>
      </c>
      <c r="AC906" s="1" t="s">
        <v>8</v>
      </c>
      <c r="AD906" s="1" t="s">
        <v>1921</v>
      </c>
      <c r="AE906" s="1" t="s">
        <v>10</v>
      </c>
      <c r="AF906" s="1" t="s">
        <v>3</v>
      </c>
      <c r="AG906">
        <f t="shared" si="41"/>
        <v>0</v>
      </c>
    </row>
    <row r="907" spans="27:33" hidden="1" x14ac:dyDescent="0.25">
      <c r="AA907" t="s">
        <v>1386</v>
      </c>
      <c r="AB907" s="1" t="s">
        <v>9</v>
      </c>
      <c r="AC907" s="1" t="s">
        <v>5</v>
      </c>
      <c r="AD907" s="1" t="s">
        <v>4</v>
      </c>
      <c r="AE907" s="1" t="s">
        <v>1</v>
      </c>
      <c r="AF907" s="1" t="s">
        <v>3</v>
      </c>
      <c r="AG907">
        <f t="shared" si="41"/>
        <v>0</v>
      </c>
    </row>
    <row r="908" spans="27:33" hidden="1" x14ac:dyDescent="0.25">
      <c r="AA908" t="s">
        <v>1733</v>
      </c>
      <c r="AB908" s="1" t="s">
        <v>4</v>
      </c>
      <c r="AC908" s="1" t="s">
        <v>5</v>
      </c>
      <c r="AD908" s="1" t="s">
        <v>1923</v>
      </c>
      <c r="AE908" s="1" t="s">
        <v>8</v>
      </c>
      <c r="AF908" s="1" t="s">
        <v>11</v>
      </c>
      <c r="AG908">
        <f t="shared" si="41"/>
        <v>0</v>
      </c>
    </row>
    <row r="909" spans="27:33" hidden="1" x14ac:dyDescent="0.25">
      <c r="AA909" t="s">
        <v>2256</v>
      </c>
      <c r="AB909" s="1" t="s">
        <v>2</v>
      </c>
      <c r="AC909" s="1" t="s">
        <v>5</v>
      </c>
      <c r="AD909" s="1" t="s">
        <v>1914</v>
      </c>
      <c r="AE909" s="1" t="s">
        <v>5</v>
      </c>
      <c r="AF909" s="1" t="s">
        <v>6</v>
      </c>
      <c r="AG909">
        <f t="shared" si="41"/>
        <v>0</v>
      </c>
    </row>
    <row r="910" spans="27:33" hidden="1" x14ac:dyDescent="0.25">
      <c r="AA910" t="s">
        <v>69</v>
      </c>
      <c r="AB910" s="1" t="s">
        <v>1</v>
      </c>
      <c r="AC910" s="1" t="s">
        <v>13</v>
      </c>
      <c r="AD910" s="1" t="s">
        <v>1</v>
      </c>
      <c r="AE910" s="1" t="s">
        <v>1921</v>
      </c>
      <c r="AF910" s="1" t="s">
        <v>5</v>
      </c>
      <c r="AG910">
        <f t="shared" si="41"/>
        <v>0</v>
      </c>
    </row>
    <row r="911" spans="27:33" hidden="1" x14ac:dyDescent="0.25">
      <c r="AA911" t="s">
        <v>1541</v>
      </c>
      <c r="AB911" s="1" t="s">
        <v>2</v>
      </c>
      <c r="AC911" s="1" t="s">
        <v>1</v>
      </c>
      <c r="AD911" s="1" t="s">
        <v>7</v>
      </c>
      <c r="AE911" s="1" t="s">
        <v>2</v>
      </c>
      <c r="AF911" s="1" t="s">
        <v>1</v>
      </c>
      <c r="AG911">
        <f t="shared" si="41"/>
        <v>0</v>
      </c>
    </row>
    <row r="912" spans="27:33" hidden="1" x14ac:dyDescent="0.25">
      <c r="AA912" t="s">
        <v>900</v>
      </c>
      <c r="AB912" s="1" t="s">
        <v>15</v>
      </c>
      <c r="AC912" s="1" t="s">
        <v>8</v>
      </c>
      <c r="AD912" s="1" t="s">
        <v>6</v>
      </c>
      <c r="AE912" s="1" t="s">
        <v>0</v>
      </c>
      <c r="AF912" s="1" t="s">
        <v>5</v>
      </c>
      <c r="AG912">
        <f t="shared" si="41"/>
        <v>0</v>
      </c>
    </row>
    <row r="913" spans="27:33" hidden="1" x14ac:dyDescent="0.25">
      <c r="AA913" t="s">
        <v>1753</v>
      </c>
      <c r="AB913" s="1" t="s">
        <v>4</v>
      </c>
      <c r="AC913" s="1" t="s">
        <v>3</v>
      </c>
      <c r="AD913" s="1" t="s">
        <v>1</v>
      </c>
      <c r="AE913" s="1" t="s">
        <v>13</v>
      </c>
      <c r="AF913" s="1" t="s">
        <v>1</v>
      </c>
      <c r="AG913">
        <f t="shared" si="41"/>
        <v>0</v>
      </c>
    </row>
    <row r="914" spans="27:33" hidden="1" x14ac:dyDescent="0.25">
      <c r="AA914" t="s">
        <v>209</v>
      </c>
      <c r="AB914" s="1" t="s">
        <v>1914</v>
      </c>
      <c r="AC914" s="1" t="s">
        <v>10</v>
      </c>
      <c r="AD914" s="1" t="s">
        <v>1920</v>
      </c>
      <c r="AE914" s="1" t="s">
        <v>1</v>
      </c>
      <c r="AF914" s="1" t="s">
        <v>12</v>
      </c>
      <c r="AG914">
        <f t="shared" si="41"/>
        <v>0</v>
      </c>
    </row>
    <row r="915" spans="27:33" hidden="1" x14ac:dyDescent="0.25">
      <c r="AA915" t="s">
        <v>1825</v>
      </c>
      <c r="AB915" s="1" t="s">
        <v>1919</v>
      </c>
      <c r="AC915" s="1" t="s">
        <v>11</v>
      </c>
      <c r="AD915" s="1" t="s">
        <v>7</v>
      </c>
      <c r="AE915" s="1" t="s">
        <v>1</v>
      </c>
      <c r="AF915" s="1" t="s">
        <v>3</v>
      </c>
      <c r="AG915">
        <f t="shared" si="41"/>
        <v>0</v>
      </c>
    </row>
    <row r="916" spans="27:33" hidden="1" x14ac:dyDescent="0.25">
      <c r="AA916" t="s">
        <v>2093</v>
      </c>
      <c r="AB916" s="1" t="s">
        <v>11</v>
      </c>
      <c r="AC916" s="1" t="s">
        <v>1921</v>
      </c>
      <c r="AD916" s="1" t="s">
        <v>10</v>
      </c>
      <c r="AE916" s="1" t="s">
        <v>1915</v>
      </c>
      <c r="AF916" s="1" t="s">
        <v>1</v>
      </c>
      <c r="AG916">
        <f t="shared" si="41"/>
        <v>0</v>
      </c>
    </row>
    <row r="917" spans="27:33" hidden="1" x14ac:dyDescent="0.25">
      <c r="AA917" t="s">
        <v>262</v>
      </c>
      <c r="AB917" s="1" t="s">
        <v>1914</v>
      </c>
      <c r="AC917" s="1" t="s">
        <v>3</v>
      </c>
      <c r="AD917" s="1" t="s">
        <v>8</v>
      </c>
      <c r="AE917" s="1" t="s">
        <v>4</v>
      </c>
      <c r="AF917" s="1" t="s">
        <v>5</v>
      </c>
      <c r="AG917">
        <f t="shared" si="41"/>
        <v>0</v>
      </c>
    </row>
    <row r="918" spans="27:33" hidden="1" x14ac:dyDescent="0.25">
      <c r="AA918" t="s">
        <v>2320</v>
      </c>
      <c r="AB918" s="1" t="s">
        <v>9</v>
      </c>
      <c r="AC918" s="1" t="s">
        <v>8</v>
      </c>
      <c r="AD918" s="1" t="s">
        <v>1914</v>
      </c>
      <c r="AE918" s="1" t="s">
        <v>11</v>
      </c>
      <c r="AF918" s="1" t="s">
        <v>3</v>
      </c>
      <c r="AG918">
        <f t="shared" si="41"/>
        <v>0</v>
      </c>
    </row>
    <row r="919" spans="27:33" hidden="1" x14ac:dyDescent="0.25">
      <c r="AA919" t="s">
        <v>1022</v>
      </c>
      <c r="AB919" s="1" t="s">
        <v>13</v>
      </c>
      <c r="AC919" s="1" t="s">
        <v>1</v>
      </c>
      <c r="AD919" s="1" t="s">
        <v>6</v>
      </c>
      <c r="AE919" s="1" t="s">
        <v>0</v>
      </c>
      <c r="AF919" s="1" t="s">
        <v>5</v>
      </c>
      <c r="AG919">
        <f t="shared" si="41"/>
        <v>0</v>
      </c>
    </row>
    <row r="920" spans="27:33" hidden="1" x14ac:dyDescent="0.25">
      <c r="AA920" t="s">
        <v>1985</v>
      </c>
      <c r="AB920" s="1" t="s">
        <v>1</v>
      </c>
      <c r="AC920" s="1" t="s">
        <v>8</v>
      </c>
      <c r="AD920" s="1" t="s">
        <v>3</v>
      </c>
      <c r="AE920" s="1" t="s">
        <v>11</v>
      </c>
      <c r="AF920" s="1" t="s">
        <v>5</v>
      </c>
      <c r="AG920">
        <f t="shared" si="41"/>
        <v>0</v>
      </c>
    </row>
    <row r="921" spans="27:33" hidden="1" x14ac:dyDescent="0.25">
      <c r="AA921" t="s">
        <v>881</v>
      </c>
      <c r="AB921" s="1" t="s">
        <v>15</v>
      </c>
      <c r="AC921" s="1" t="s">
        <v>1</v>
      </c>
      <c r="AD921" s="1" t="s">
        <v>13</v>
      </c>
      <c r="AE921" s="1" t="s">
        <v>1914</v>
      </c>
      <c r="AF921" s="1" t="s">
        <v>1</v>
      </c>
      <c r="AG921">
        <f t="shared" si="41"/>
        <v>0</v>
      </c>
    </row>
    <row r="922" spans="27:33" hidden="1" x14ac:dyDescent="0.25">
      <c r="AA922" t="s">
        <v>568</v>
      </c>
      <c r="AB922" s="1" t="s">
        <v>1915</v>
      </c>
      <c r="AC922" s="1" t="s">
        <v>8</v>
      </c>
      <c r="AD922" s="1" t="s">
        <v>7</v>
      </c>
      <c r="AE922" s="1" t="s">
        <v>0</v>
      </c>
      <c r="AF922" s="1" t="s">
        <v>11</v>
      </c>
      <c r="AG922">
        <f t="shared" si="41"/>
        <v>0</v>
      </c>
    </row>
    <row r="923" spans="27:33" hidden="1" x14ac:dyDescent="0.25">
      <c r="AA923" t="s">
        <v>1188</v>
      </c>
      <c r="AB923" s="1" t="s">
        <v>6</v>
      </c>
      <c r="AC923" s="1" t="s">
        <v>8</v>
      </c>
      <c r="AD923" s="1" t="s">
        <v>1914</v>
      </c>
      <c r="AE923" s="1" t="s">
        <v>10</v>
      </c>
      <c r="AF923" s="1" t="s">
        <v>1</v>
      </c>
      <c r="AG923">
        <f t="shared" si="41"/>
        <v>0</v>
      </c>
    </row>
    <row r="924" spans="27:33" hidden="1" x14ac:dyDescent="0.25">
      <c r="AA924" t="s">
        <v>88</v>
      </c>
      <c r="AB924" s="1" t="s">
        <v>1</v>
      </c>
      <c r="AC924" s="1" t="s">
        <v>1916</v>
      </c>
      <c r="AD924" s="1" t="s">
        <v>11</v>
      </c>
      <c r="AE924" s="1" t="s">
        <v>15</v>
      </c>
      <c r="AF924" s="1" t="s">
        <v>5</v>
      </c>
      <c r="AG924">
        <f t="shared" si="41"/>
        <v>0</v>
      </c>
    </row>
    <row r="925" spans="27:33" hidden="1" x14ac:dyDescent="0.25">
      <c r="AA925" t="s">
        <v>482</v>
      </c>
      <c r="AB925" s="1" t="s">
        <v>0</v>
      </c>
      <c r="AC925" s="1" t="s">
        <v>3</v>
      </c>
      <c r="AD925" s="1" t="s">
        <v>8</v>
      </c>
      <c r="AE925" s="1" t="s">
        <v>1915</v>
      </c>
      <c r="AF925" s="1" t="s">
        <v>5</v>
      </c>
      <c r="AG925">
        <f t="shared" si="41"/>
        <v>0</v>
      </c>
    </row>
    <row r="926" spans="27:33" hidden="1" x14ac:dyDescent="0.25">
      <c r="AA926" t="s">
        <v>1852</v>
      </c>
      <c r="AB926" s="1" t="s">
        <v>1919</v>
      </c>
      <c r="AC926" s="1" t="s">
        <v>10</v>
      </c>
      <c r="AD926" s="1" t="s">
        <v>3</v>
      </c>
      <c r="AE926" s="1" t="s">
        <v>1</v>
      </c>
      <c r="AF926" s="1" t="s">
        <v>3</v>
      </c>
      <c r="AG926">
        <f t="shared" si="41"/>
        <v>0</v>
      </c>
    </row>
    <row r="927" spans="27:33" hidden="1" x14ac:dyDescent="0.25">
      <c r="AA927" t="s">
        <v>1778</v>
      </c>
      <c r="AB927" s="1" t="s">
        <v>4</v>
      </c>
      <c r="AC927" s="1" t="s">
        <v>8</v>
      </c>
      <c r="AD927" s="1" t="s">
        <v>7</v>
      </c>
      <c r="AE927" s="1" t="s">
        <v>10</v>
      </c>
      <c r="AF927" s="1" t="s">
        <v>5</v>
      </c>
      <c r="AG927">
        <f t="shared" si="41"/>
        <v>0</v>
      </c>
    </row>
    <row r="928" spans="27:33" hidden="1" x14ac:dyDescent="0.25">
      <c r="AA928" t="s">
        <v>1026</v>
      </c>
      <c r="AB928" s="1" t="s">
        <v>13</v>
      </c>
      <c r="AC928" s="1" t="s">
        <v>1</v>
      </c>
      <c r="AD928" s="1" t="s">
        <v>6</v>
      </c>
      <c r="AE928" s="1" t="s">
        <v>2</v>
      </c>
      <c r="AF928" s="1" t="s">
        <v>1</v>
      </c>
      <c r="AG928">
        <f t="shared" si="41"/>
        <v>0</v>
      </c>
    </row>
    <row r="929" spans="27:33" hidden="1" x14ac:dyDescent="0.25">
      <c r="AA929" t="s">
        <v>402</v>
      </c>
      <c r="AB929" s="1" t="s">
        <v>0</v>
      </c>
      <c r="AC929" s="1" t="s">
        <v>1917</v>
      </c>
      <c r="AD929" s="1" t="s">
        <v>8</v>
      </c>
      <c r="AE929" s="1" t="s">
        <v>12</v>
      </c>
      <c r="AF929" s="1" t="s">
        <v>5</v>
      </c>
      <c r="AG929">
        <f t="shared" si="41"/>
        <v>0</v>
      </c>
    </row>
    <row r="930" spans="27:33" hidden="1" x14ac:dyDescent="0.25">
      <c r="AA930" t="s">
        <v>1175</v>
      </c>
      <c r="AB930" s="1" t="s">
        <v>6</v>
      </c>
      <c r="AC930" s="1" t="s">
        <v>5</v>
      </c>
      <c r="AD930" s="1" t="s">
        <v>1921</v>
      </c>
      <c r="AE930" s="1" t="s">
        <v>1</v>
      </c>
      <c r="AF930" s="1" t="s">
        <v>7</v>
      </c>
      <c r="AG930">
        <f t="shared" si="41"/>
        <v>0</v>
      </c>
    </row>
    <row r="931" spans="27:33" hidden="1" x14ac:dyDescent="0.25">
      <c r="AA931" t="s">
        <v>1846</v>
      </c>
      <c r="AB931" s="1" t="s">
        <v>1919</v>
      </c>
      <c r="AC931" s="1" t="s">
        <v>10</v>
      </c>
      <c r="AD931" s="1" t="s">
        <v>11</v>
      </c>
      <c r="AE931" s="1" t="s">
        <v>15</v>
      </c>
      <c r="AF931" s="1" t="s">
        <v>5</v>
      </c>
      <c r="AG931">
        <f t="shared" si="41"/>
        <v>0</v>
      </c>
    </row>
    <row r="932" spans="27:33" hidden="1" x14ac:dyDescent="0.25">
      <c r="AA932" t="s">
        <v>1302</v>
      </c>
      <c r="AB932" s="1" t="s">
        <v>9</v>
      </c>
      <c r="AC932" s="1" t="s">
        <v>11</v>
      </c>
      <c r="AD932" s="1" t="s">
        <v>7</v>
      </c>
      <c r="AE932" s="1" t="s">
        <v>10</v>
      </c>
      <c r="AF932" s="1" t="s">
        <v>2</v>
      </c>
      <c r="AG932">
        <f t="shared" si="41"/>
        <v>0</v>
      </c>
    </row>
    <row r="933" spans="27:33" hidden="1" x14ac:dyDescent="0.25">
      <c r="AA933" t="s">
        <v>656</v>
      </c>
      <c r="AB933" s="1" t="s">
        <v>1920</v>
      </c>
      <c r="AC933" s="1" t="s">
        <v>7</v>
      </c>
      <c r="AD933" s="1" t="s">
        <v>1</v>
      </c>
      <c r="AE933" s="1" t="s">
        <v>0</v>
      </c>
      <c r="AF933" s="1" t="s">
        <v>1</v>
      </c>
      <c r="AG933">
        <f t="shared" si="41"/>
        <v>0</v>
      </c>
    </row>
    <row r="934" spans="27:33" hidden="1" x14ac:dyDescent="0.25">
      <c r="AA934" t="s">
        <v>1864</v>
      </c>
      <c r="AB934" s="1" t="s">
        <v>1919</v>
      </c>
      <c r="AC934" s="1" t="s">
        <v>10</v>
      </c>
      <c r="AD934" s="1" t="s">
        <v>1919</v>
      </c>
      <c r="AE934" s="1" t="s">
        <v>1</v>
      </c>
      <c r="AF934" s="1" t="s">
        <v>0</v>
      </c>
      <c r="AG934">
        <f t="shared" si="41"/>
        <v>0</v>
      </c>
    </row>
    <row r="935" spans="27:33" hidden="1" x14ac:dyDescent="0.25">
      <c r="AA935" t="s">
        <v>1986</v>
      </c>
      <c r="AB935" s="1" t="s">
        <v>6</v>
      </c>
      <c r="AC935" s="1" t="s">
        <v>1</v>
      </c>
      <c r="AD935" s="1" t="s">
        <v>0</v>
      </c>
      <c r="AE935" s="1" t="s">
        <v>1</v>
      </c>
      <c r="AF935" s="1" t="s">
        <v>3</v>
      </c>
      <c r="AG935">
        <f t="shared" si="41"/>
        <v>0</v>
      </c>
    </row>
    <row r="936" spans="27:33" hidden="1" x14ac:dyDescent="0.25">
      <c r="AA936" t="s">
        <v>97</v>
      </c>
      <c r="AB936" s="1" t="s">
        <v>1</v>
      </c>
      <c r="AC936" s="1" t="s">
        <v>5</v>
      </c>
      <c r="AD936" s="1" t="s">
        <v>3</v>
      </c>
      <c r="AE936" s="1" t="s">
        <v>4</v>
      </c>
      <c r="AF936" s="1" t="s">
        <v>1</v>
      </c>
      <c r="AG936">
        <f t="shared" si="41"/>
        <v>0</v>
      </c>
    </row>
    <row r="937" spans="27:33" hidden="1" x14ac:dyDescent="0.25">
      <c r="AA937" t="s">
        <v>2176</v>
      </c>
      <c r="AB937" s="1" t="s">
        <v>0</v>
      </c>
      <c r="AC937" s="1" t="s">
        <v>8</v>
      </c>
      <c r="AD937" s="1" t="s">
        <v>9</v>
      </c>
      <c r="AE937" s="1" t="s">
        <v>5</v>
      </c>
      <c r="AF937" s="1" t="s">
        <v>6</v>
      </c>
      <c r="AG937">
        <f t="shared" si="41"/>
        <v>0</v>
      </c>
    </row>
    <row r="938" spans="27:33" hidden="1" x14ac:dyDescent="0.25">
      <c r="AA938" t="s">
        <v>744</v>
      </c>
      <c r="AB938" s="1" t="s">
        <v>1921</v>
      </c>
      <c r="AC938" s="1" t="s">
        <v>5</v>
      </c>
      <c r="AD938" s="1" t="s">
        <v>7</v>
      </c>
      <c r="AE938" s="1" t="s">
        <v>9</v>
      </c>
      <c r="AF938" s="1" t="s">
        <v>11</v>
      </c>
      <c r="AG938">
        <f t="shared" si="41"/>
        <v>0</v>
      </c>
    </row>
    <row r="939" spans="27:33" hidden="1" x14ac:dyDescent="0.25">
      <c r="AA939" t="s">
        <v>1276</v>
      </c>
      <c r="AB939" s="1" t="s">
        <v>9</v>
      </c>
      <c r="AC939" s="1" t="s">
        <v>1</v>
      </c>
      <c r="AD939" s="1" t="s">
        <v>3</v>
      </c>
      <c r="AE939" s="1" t="s">
        <v>3</v>
      </c>
      <c r="AF939" s="1" t="s">
        <v>1</v>
      </c>
      <c r="AG939">
        <f t="shared" si="41"/>
        <v>0</v>
      </c>
    </row>
    <row r="940" spans="27:33" hidden="1" x14ac:dyDescent="0.25">
      <c r="AA940" t="s">
        <v>24</v>
      </c>
      <c r="AB940" s="1" t="s">
        <v>1</v>
      </c>
      <c r="AC940" s="1" t="s">
        <v>1914</v>
      </c>
      <c r="AD940" s="1" t="s">
        <v>8</v>
      </c>
      <c r="AE940" s="1" t="s">
        <v>2</v>
      </c>
      <c r="AF940" s="1" t="s">
        <v>5</v>
      </c>
      <c r="AG940">
        <f t="shared" si="41"/>
        <v>0</v>
      </c>
    </row>
    <row r="941" spans="27:33" hidden="1" x14ac:dyDescent="0.25">
      <c r="AA941" t="s">
        <v>884</v>
      </c>
      <c r="AB941" s="1" t="s">
        <v>15</v>
      </c>
      <c r="AC941" s="1" t="s">
        <v>1</v>
      </c>
      <c r="AD941" s="1" t="s">
        <v>3</v>
      </c>
      <c r="AE941" s="1" t="s">
        <v>3</v>
      </c>
      <c r="AF941" s="1" t="s">
        <v>1</v>
      </c>
      <c r="AG941">
        <f t="shared" si="41"/>
        <v>0</v>
      </c>
    </row>
    <row r="942" spans="27:33" hidden="1" x14ac:dyDescent="0.25">
      <c r="AA942" t="s">
        <v>1494</v>
      </c>
      <c r="AB942" s="1" t="s">
        <v>3</v>
      </c>
      <c r="AC942" s="1" t="s">
        <v>5</v>
      </c>
      <c r="AD942" s="1" t="s">
        <v>1915</v>
      </c>
      <c r="AE942" s="1" t="s">
        <v>10</v>
      </c>
      <c r="AF942" s="1" t="s">
        <v>5</v>
      </c>
      <c r="AG942">
        <f t="shared" si="41"/>
        <v>0</v>
      </c>
    </row>
    <row r="943" spans="27:33" hidden="1" x14ac:dyDescent="0.25">
      <c r="AA943" t="s">
        <v>1366</v>
      </c>
      <c r="AB943" s="1" t="s">
        <v>9</v>
      </c>
      <c r="AC943" s="1" t="s">
        <v>5</v>
      </c>
      <c r="AD943" s="1" t="s">
        <v>11</v>
      </c>
      <c r="AE943" s="1" t="s">
        <v>13</v>
      </c>
      <c r="AF943" s="1" t="s">
        <v>1</v>
      </c>
      <c r="AG943">
        <f t="shared" si="41"/>
        <v>0</v>
      </c>
    </row>
    <row r="944" spans="27:33" hidden="1" x14ac:dyDescent="0.25">
      <c r="AA944" t="s">
        <v>139</v>
      </c>
      <c r="AB944" s="1" t="s">
        <v>1</v>
      </c>
      <c r="AC944" s="1" t="s">
        <v>8</v>
      </c>
      <c r="AD944" s="1" t="s">
        <v>1915</v>
      </c>
      <c r="AE944" s="1" t="s">
        <v>10</v>
      </c>
      <c r="AF944" s="1" t="s">
        <v>5</v>
      </c>
      <c r="AG944">
        <f t="shared" si="41"/>
        <v>0</v>
      </c>
    </row>
    <row r="945" spans="27:33" hidden="1" x14ac:dyDescent="0.25">
      <c r="AA945" t="s">
        <v>413</v>
      </c>
      <c r="AB945" s="1" t="s">
        <v>0</v>
      </c>
      <c r="AC945" s="1" t="s">
        <v>10</v>
      </c>
      <c r="AD945" s="1" t="s">
        <v>3</v>
      </c>
      <c r="AE945" s="1" t="s">
        <v>10</v>
      </c>
      <c r="AF945" s="1" t="s">
        <v>5</v>
      </c>
      <c r="AG945">
        <f t="shared" si="41"/>
        <v>0</v>
      </c>
    </row>
    <row r="946" spans="27:33" hidden="1" x14ac:dyDescent="0.25">
      <c r="AA946" t="s">
        <v>822</v>
      </c>
      <c r="AB946" s="1" t="s">
        <v>1917</v>
      </c>
      <c r="AC946" s="1" t="s">
        <v>10</v>
      </c>
      <c r="AD946" s="1" t="s">
        <v>7</v>
      </c>
      <c r="AE946" s="1" t="s">
        <v>1</v>
      </c>
      <c r="AF946" s="1" t="s">
        <v>3</v>
      </c>
      <c r="AG946">
        <f t="shared" si="41"/>
        <v>0</v>
      </c>
    </row>
    <row r="947" spans="27:33" hidden="1" x14ac:dyDescent="0.25">
      <c r="AA947" t="s">
        <v>1968</v>
      </c>
      <c r="AB947" s="1" t="s">
        <v>9</v>
      </c>
      <c r="AC947" s="1" t="s">
        <v>11</v>
      </c>
      <c r="AD947" s="1" t="s">
        <v>7</v>
      </c>
      <c r="AE947" s="1" t="s">
        <v>5</v>
      </c>
      <c r="AF947" s="1" t="s">
        <v>2</v>
      </c>
      <c r="AG947">
        <f t="shared" si="41"/>
        <v>0</v>
      </c>
    </row>
    <row r="948" spans="27:33" hidden="1" x14ac:dyDescent="0.25">
      <c r="AA948" t="s">
        <v>1431</v>
      </c>
      <c r="AB948" s="1" t="s">
        <v>3</v>
      </c>
      <c r="AC948" s="1" t="s">
        <v>1</v>
      </c>
      <c r="AD948" s="1" t="s">
        <v>1920</v>
      </c>
      <c r="AE948" s="1" t="s">
        <v>10</v>
      </c>
      <c r="AF948" s="1" t="s">
        <v>1</v>
      </c>
      <c r="AG948">
        <f t="shared" si="41"/>
        <v>0</v>
      </c>
    </row>
    <row r="949" spans="27:33" hidden="1" x14ac:dyDescent="0.25">
      <c r="AA949" t="s">
        <v>1865</v>
      </c>
      <c r="AB949" s="1" t="s">
        <v>1919</v>
      </c>
      <c r="AC949" s="1" t="s">
        <v>10</v>
      </c>
      <c r="AD949" s="1" t="s">
        <v>1919</v>
      </c>
      <c r="AE949" s="1" t="s">
        <v>1</v>
      </c>
      <c r="AF949" s="1" t="s">
        <v>3</v>
      </c>
      <c r="AG949">
        <f t="shared" si="41"/>
        <v>0</v>
      </c>
    </row>
    <row r="950" spans="27:33" hidden="1" x14ac:dyDescent="0.25">
      <c r="AA950" t="s">
        <v>2293</v>
      </c>
      <c r="AB950" s="1" t="s">
        <v>6</v>
      </c>
      <c r="AC950" s="1" t="s">
        <v>10</v>
      </c>
      <c r="AD950" s="1" t="s">
        <v>9</v>
      </c>
      <c r="AE950" s="1" t="s">
        <v>5</v>
      </c>
      <c r="AF950" s="1" t="s">
        <v>6</v>
      </c>
      <c r="AG950">
        <f t="shared" si="41"/>
        <v>0</v>
      </c>
    </row>
    <row r="951" spans="27:33" hidden="1" x14ac:dyDescent="0.25">
      <c r="AA951" t="s">
        <v>191</v>
      </c>
      <c r="AB951" s="1" t="s">
        <v>1914</v>
      </c>
      <c r="AC951" s="1" t="s">
        <v>11</v>
      </c>
      <c r="AD951" s="1" t="s">
        <v>1</v>
      </c>
      <c r="AE951" s="1" t="s">
        <v>4</v>
      </c>
      <c r="AF951" s="1" t="s">
        <v>1</v>
      </c>
      <c r="AG951">
        <f t="shared" si="41"/>
        <v>0</v>
      </c>
    </row>
    <row r="952" spans="27:33" hidden="1" x14ac:dyDescent="0.25">
      <c r="AA952" t="s">
        <v>1496</v>
      </c>
      <c r="AB952" s="1" t="s">
        <v>3</v>
      </c>
      <c r="AC952" s="1" t="s">
        <v>5</v>
      </c>
      <c r="AD952" s="1" t="s">
        <v>15</v>
      </c>
      <c r="AE952" s="1" t="s">
        <v>11</v>
      </c>
      <c r="AF952" s="1" t="s">
        <v>12</v>
      </c>
      <c r="AG952">
        <f t="shared" si="41"/>
        <v>0</v>
      </c>
    </row>
    <row r="953" spans="27:33" hidden="1" x14ac:dyDescent="0.25">
      <c r="AA953" t="s">
        <v>131</v>
      </c>
      <c r="AB953" s="1" t="s">
        <v>1</v>
      </c>
      <c r="AC953" s="1" t="s">
        <v>4</v>
      </c>
      <c r="AD953" s="1" t="s">
        <v>1</v>
      </c>
      <c r="AE953" s="1" t="s">
        <v>1915</v>
      </c>
      <c r="AF953" s="1" t="s">
        <v>1</v>
      </c>
      <c r="AG953">
        <f t="shared" si="41"/>
        <v>0</v>
      </c>
    </row>
    <row r="954" spans="27:33" hidden="1" x14ac:dyDescent="0.25">
      <c r="AA954" t="s">
        <v>1738</v>
      </c>
      <c r="AB954" s="1" t="s">
        <v>4</v>
      </c>
      <c r="AC954" s="1" t="s">
        <v>5</v>
      </c>
      <c r="AD954" s="1" t="s">
        <v>3</v>
      </c>
      <c r="AE954" s="1" t="s">
        <v>10</v>
      </c>
      <c r="AF954" s="1" t="s">
        <v>5</v>
      </c>
      <c r="AG954">
        <f t="shared" si="41"/>
        <v>0</v>
      </c>
    </row>
    <row r="955" spans="27:33" hidden="1" x14ac:dyDescent="0.25">
      <c r="AA955" t="s">
        <v>1162</v>
      </c>
      <c r="AB955" s="1" t="s">
        <v>6</v>
      </c>
      <c r="AC955" s="1" t="s">
        <v>10</v>
      </c>
      <c r="AD955" s="1" t="s">
        <v>11</v>
      </c>
      <c r="AE955" s="1" t="s">
        <v>4</v>
      </c>
      <c r="AF955" s="1" t="s">
        <v>1</v>
      </c>
      <c r="AG955">
        <f t="shared" si="41"/>
        <v>0</v>
      </c>
    </row>
    <row r="956" spans="27:33" hidden="1" x14ac:dyDescent="0.25">
      <c r="AA956" t="s">
        <v>2049</v>
      </c>
      <c r="AB956" s="1" t="s">
        <v>1921</v>
      </c>
      <c r="AC956" s="1" t="s">
        <v>1</v>
      </c>
      <c r="AD956" s="1" t="s">
        <v>7</v>
      </c>
      <c r="AE956" s="1" t="s">
        <v>11</v>
      </c>
      <c r="AF956" s="1" t="s">
        <v>2</v>
      </c>
      <c r="AG956">
        <f t="shared" si="41"/>
        <v>0</v>
      </c>
    </row>
    <row r="957" spans="27:33" hidden="1" x14ac:dyDescent="0.25">
      <c r="AA957" t="s">
        <v>470</v>
      </c>
      <c r="AB957" s="1" t="s">
        <v>0</v>
      </c>
      <c r="AC957" s="1" t="s">
        <v>3</v>
      </c>
      <c r="AD957" s="1" t="s">
        <v>11</v>
      </c>
      <c r="AE957" s="1" t="s">
        <v>11</v>
      </c>
      <c r="AF957" s="1" t="s">
        <v>3</v>
      </c>
      <c r="AG957">
        <f t="shared" si="41"/>
        <v>0</v>
      </c>
    </row>
    <row r="958" spans="27:33" hidden="1" x14ac:dyDescent="0.25">
      <c r="AA958" t="s">
        <v>1652</v>
      </c>
      <c r="AB958" s="1" t="s">
        <v>4</v>
      </c>
      <c r="AC958" s="1" t="s">
        <v>1</v>
      </c>
      <c r="AD958" s="1" t="s">
        <v>7</v>
      </c>
      <c r="AE958" s="1" t="s">
        <v>7</v>
      </c>
      <c r="AF958" s="1" t="s">
        <v>11</v>
      </c>
      <c r="AG958">
        <f t="shared" si="41"/>
        <v>0</v>
      </c>
    </row>
    <row r="959" spans="27:33" hidden="1" x14ac:dyDescent="0.25">
      <c r="AA959" t="s">
        <v>1544</v>
      </c>
      <c r="AB959" s="1" t="s">
        <v>2</v>
      </c>
      <c r="AC959" s="1" t="s">
        <v>1</v>
      </c>
      <c r="AD959" s="1" t="s">
        <v>7</v>
      </c>
      <c r="AE959" s="1" t="s">
        <v>1919</v>
      </c>
      <c r="AF959" s="1" t="s">
        <v>1</v>
      </c>
      <c r="AG959">
        <f t="shared" si="41"/>
        <v>0</v>
      </c>
    </row>
    <row r="960" spans="27:33" hidden="1" x14ac:dyDescent="0.25">
      <c r="AA960" t="s">
        <v>647</v>
      </c>
      <c r="AB960" s="1" t="s">
        <v>1920</v>
      </c>
      <c r="AC960" s="1" t="s">
        <v>10</v>
      </c>
      <c r="AD960" s="1" t="s">
        <v>6</v>
      </c>
      <c r="AE960" s="1" t="s">
        <v>1</v>
      </c>
      <c r="AF960" s="1" t="s">
        <v>7</v>
      </c>
      <c r="AG960">
        <f t="shared" si="41"/>
        <v>0</v>
      </c>
    </row>
    <row r="961" spans="27:33" hidden="1" x14ac:dyDescent="0.25">
      <c r="AA961" t="s">
        <v>2120</v>
      </c>
      <c r="AB961" s="1" t="s">
        <v>6</v>
      </c>
      <c r="AC961" s="1" t="s">
        <v>10</v>
      </c>
      <c r="AD961" s="1" t="s">
        <v>1919</v>
      </c>
      <c r="AE961" s="1" t="s">
        <v>11</v>
      </c>
      <c r="AF961" s="1" t="s">
        <v>1</v>
      </c>
      <c r="AG961">
        <f t="shared" si="41"/>
        <v>0</v>
      </c>
    </row>
    <row r="962" spans="27:33" hidden="1" x14ac:dyDescent="0.25">
      <c r="AA962" t="s">
        <v>1776</v>
      </c>
      <c r="AB962" s="1" t="s">
        <v>4</v>
      </c>
      <c r="AC962" s="1" t="s">
        <v>3</v>
      </c>
      <c r="AD962" s="1" t="s">
        <v>8</v>
      </c>
      <c r="AE962" s="1" t="s">
        <v>0</v>
      </c>
      <c r="AF962" s="1" t="s">
        <v>5</v>
      </c>
      <c r="AG962">
        <f t="shared" si="41"/>
        <v>0</v>
      </c>
    </row>
    <row r="963" spans="27:33" hidden="1" x14ac:dyDescent="0.25">
      <c r="AA963" t="s">
        <v>862</v>
      </c>
      <c r="AB963" s="1" t="s">
        <v>10</v>
      </c>
      <c r="AC963" s="1" t="s">
        <v>7</v>
      </c>
      <c r="AD963" s="1" t="s">
        <v>11</v>
      </c>
      <c r="AE963" s="1" t="s">
        <v>2</v>
      </c>
      <c r="AF963" s="1" t="s">
        <v>1</v>
      </c>
      <c r="AG963">
        <f t="shared" ref="AG963:AG1026" si="42">IF(AND(Z963&gt;0,Z963&lt;7),AG962+1,0)</f>
        <v>0</v>
      </c>
    </row>
    <row r="964" spans="27:33" hidden="1" x14ac:dyDescent="0.25">
      <c r="AA964" t="s">
        <v>1239</v>
      </c>
      <c r="AB964" s="1" t="s">
        <v>5</v>
      </c>
      <c r="AC964" s="1" t="s">
        <v>4</v>
      </c>
      <c r="AD964" s="1" t="s">
        <v>11</v>
      </c>
      <c r="AE964" s="1" t="s">
        <v>1</v>
      </c>
      <c r="AF964" s="1" t="s">
        <v>3</v>
      </c>
      <c r="AG964">
        <f t="shared" si="42"/>
        <v>0</v>
      </c>
    </row>
    <row r="965" spans="27:33" hidden="1" x14ac:dyDescent="0.25">
      <c r="AA965" t="s">
        <v>1814</v>
      </c>
      <c r="AB965" s="1" t="s">
        <v>1919</v>
      </c>
      <c r="AC965" s="1" t="s">
        <v>1</v>
      </c>
      <c r="AD965" s="1" t="s">
        <v>9</v>
      </c>
      <c r="AE965" s="1" t="s">
        <v>5</v>
      </c>
      <c r="AF965" s="1" t="s">
        <v>3</v>
      </c>
      <c r="AG965">
        <f t="shared" si="42"/>
        <v>0</v>
      </c>
    </row>
    <row r="966" spans="27:33" hidden="1" x14ac:dyDescent="0.25">
      <c r="AA966" t="s">
        <v>341</v>
      </c>
      <c r="AB966" s="1" t="s">
        <v>0</v>
      </c>
      <c r="AC966" s="1" t="s">
        <v>1</v>
      </c>
      <c r="AD966" s="1" t="s">
        <v>4</v>
      </c>
      <c r="AE966" s="1" t="s">
        <v>1</v>
      </c>
      <c r="AF966" s="1" t="s">
        <v>3</v>
      </c>
      <c r="AG966">
        <f t="shared" si="42"/>
        <v>0</v>
      </c>
    </row>
    <row r="967" spans="27:33" hidden="1" x14ac:dyDescent="0.25">
      <c r="AA967" t="s">
        <v>198</v>
      </c>
      <c r="AB967" s="1" t="s">
        <v>1914</v>
      </c>
      <c r="AC967" s="1" t="s">
        <v>11</v>
      </c>
      <c r="AD967" s="1" t="s">
        <v>7</v>
      </c>
      <c r="AE967" s="1" t="s">
        <v>7</v>
      </c>
      <c r="AF967" s="1" t="s">
        <v>1</v>
      </c>
      <c r="AG967">
        <f t="shared" si="42"/>
        <v>0</v>
      </c>
    </row>
    <row r="968" spans="27:33" hidden="1" x14ac:dyDescent="0.25">
      <c r="AA968" t="s">
        <v>629</v>
      </c>
      <c r="AB968" s="1" t="s">
        <v>1920</v>
      </c>
      <c r="AC968" s="1" t="s">
        <v>11</v>
      </c>
      <c r="AD968" s="1" t="s">
        <v>7</v>
      </c>
      <c r="AE968" s="1" t="s">
        <v>10</v>
      </c>
      <c r="AF968" s="1" t="s">
        <v>12</v>
      </c>
      <c r="AG968">
        <f t="shared" si="42"/>
        <v>0</v>
      </c>
    </row>
    <row r="969" spans="27:33" hidden="1" x14ac:dyDescent="0.25">
      <c r="AA969" t="s">
        <v>1550</v>
      </c>
      <c r="AB969" s="1" t="s">
        <v>2</v>
      </c>
      <c r="AC969" s="1" t="s">
        <v>1</v>
      </c>
      <c r="AD969" s="1" t="s">
        <v>1923</v>
      </c>
      <c r="AE969" s="1" t="s">
        <v>8</v>
      </c>
      <c r="AF969" s="1" t="s">
        <v>11</v>
      </c>
      <c r="AG969">
        <f t="shared" si="42"/>
        <v>0</v>
      </c>
    </row>
    <row r="970" spans="27:33" hidden="1" x14ac:dyDescent="0.25">
      <c r="AA970" t="s">
        <v>1006</v>
      </c>
      <c r="AB970" s="1" t="s">
        <v>13</v>
      </c>
      <c r="AC970" s="1" t="s">
        <v>1</v>
      </c>
      <c r="AD970" s="1" t="s">
        <v>1921</v>
      </c>
      <c r="AE970" s="1" t="s">
        <v>10</v>
      </c>
      <c r="AF970" s="1" t="s">
        <v>1</v>
      </c>
      <c r="AG970">
        <f t="shared" si="42"/>
        <v>0</v>
      </c>
    </row>
    <row r="971" spans="27:33" hidden="1" x14ac:dyDescent="0.25">
      <c r="AA971" t="s">
        <v>1178</v>
      </c>
      <c r="AB971" s="1" t="s">
        <v>1916</v>
      </c>
      <c r="AC971" s="1" t="s">
        <v>5</v>
      </c>
      <c r="AD971" s="1" t="s">
        <v>1923</v>
      </c>
      <c r="AE971" s="1" t="s">
        <v>8</v>
      </c>
      <c r="AF971" s="1" t="s">
        <v>10</v>
      </c>
      <c r="AG971">
        <f t="shared" si="42"/>
        <v>0</v>
      </c>
    </row>
    <row r="972" spans="27:33" hidden="1" x14ac:dyDescent="0.25">
      <c r="AA972" t="s">
        <v>1279</v>
      </c>
      <c r="AB972" s="1" t="s">
        <v>9</v>
      </c>
      <c r="AC972" s="1" t="s">
        <v>1</v>
      </c>
      <c r="AD972" s="1" t="s">
        <v>2</v>
      </c>
      <c r="AE972" s="1" t="s">
        <v>1</v>
      </c>
      <c r="AF972" s="1" t="s">
        <v>3</v>
      </c>
      <c r="AG972">
        <f t="shared" si="42"/>
        <v>0</v>
      </c>
    </row>
    <row r="973" spans="27:33" hidden="1" x14ac:dyDescent="0.25">
      <c r="AA973" t="s">
        <v>930</v>
      </c>
      <c r="AB973" s="1" t="s">
        <v>7</v>
      </c>
      <c r="AC973" s="1" t="s">
        <v>1</v>
      </c>
      <c r="AD973" s="1" t="s">
        <v>2</v>
      </c>
      <c r="AE973" s="1" t="s">
        <v>0</v>
      </c>
      <c r="AF973" s="1" t="s">
        <v>1</v>
      </c>
      <c r="AG973">
        <f t="shared" si="42"/>
        <v>0</v>
      </c>
    </row>
    <row r="974" spans="27:33" hidden="1" x14ac:dyDescent="0.25">
      <c r="AA974" t="s">
        <v>449</v>
      </c>
      <c r="AB974" s="1" t="s">
        <v>0</v>
      </c>
      <c r="AC974" s="1" t="s">
        <v>5</v>
      </c>
      <c r="AD974" s="1" t="s">
        <v>6</v>
      </c>
      <c r="AE974" s="1" t="s">
        <v>1921</v>
      </c>
      <c r="AF974" s="1" t="s">
        <v>1</v>
      </c>
      <c r="AG974">
        <f t="shared" si="42"/>
        <v>0</v>
      </c>
    </row>
    <row r="975" spans="27:33" hidden="1" x14ac:dyDescent="0.25">
      <c r="AA975" t="s">
        <v>57</v>
      </c>
      <c r="AB975" s="1" t="s">
        <v>1</v>
      </c>
      <c r="AC975" s="1" t="s">
        <v>7</v>
      </c>
      <c r="AD975" s="1" t="s">
        <v>11</v>
      </c>
      <c r="AE975" s="1" t="s">
        <v>3</v>
      </c>
      <c r="AF975" s="1" t="s">
        <v>5</v>
      </c>
      <c r="AG975">
        <f t="shared" si="42"/>
        <v>0</v>
      </c>
    </row>
    <row r="976" spans="27:33" hidden="1" x14ac:dyDescent="0.25">
      <c r="AA976" t="s">
        <v>1244</v>
      </c>
      <c r="AB976" s="1" t="s">
        <v>5</v>
      </c>
      <c r="AC976" s="1" t="s">
        <v>1919</v>
      </c>
      <c r="AD976" s="1" t="s">
        <v>10</v>
      </c>
      <c r="AE976" s="1" t="s">
        <v>6</v>
      </c>
      <c r="AF976" s="1" t="s">
        <v>5</v>
      </c>
      <c r="AG976">
        <f t="shared" si="42"/>
        <v>0</v>
      </c>
    </row>
    <row r="977" spans="27:33" hidden="1" x14ac:dyDescent="0.25">
      <c r="AA977" t="s">
        <v>1714</v>
      </c>
      <c r="AB977" s="1" t="s">
        <v>4</v>
      </c>
      <c r="AC977" s="1" t="s">
        <v>10</v>
      </c>
      <c r="AD977" s="1" t="s">
        <v>13</v>
      </c>
      <c r="AE977" s="1" t="s">
        <v>1</v>
      </c>
      <c r="AF977" s="1" t="s">
        <v>3</v>
      </c>
      <c r="AG977">
        <f t="shared" si="42"/>
        <v>0</v>
      </c>
    </row>
    <row r="978" spans="27:33" hidden="1" x14ac:dyDescent="0.25">
      <c r="AA978" t="s">
        <v>586</v>
      </c>
      <c r="AB978" s="1" t="s">
        <v>11</v>
      </c>
      <c r="AC978" s="1" t="s">
        <v>6</v>
      </c>
      <c r="AD978" s="1" t="s">
        <v>4</v>
      </c>
      <c r="AE978" s="1" t="s">
        <v>3</v>
      </c>
      <c r="AF978" s="1" t="s">
        <v>11</v>
      </c>
      <c r="AG978">
        <f t="shared" si="42"/>
        <v>0</v>
      </c>
    </row>
    <row r="979" spans="27:33" hidden="1" x14ac:dyDescent="0.25">
      <c r="AA979" t="s">
        <v>562</v>
      </c>
      <c r="AB979" s="1" t="s">
        <v>1915</v>
      </c>
      <c r="AC979" s="1" t="s">
        <v>8</v>
      </c>
      <c r="AD979" s="1" t="s">
        <v>0</v>
      </c>
      <c r="AE979" s="1" t="s">
        <v>1917</v>
      </c>
      <c r="AF979" s="1" t="s">
        <v>5</v>
      </c>
      <c r="AG979">
        <f t="shared" si="42"/>
        <v>0</v>
      </c>
    </row>
    <row r="980" spans="27:33" hidden="1" x14ac:dyDescent="0.25">
      <c r="AA980" t="s">
        <v>1674</v>
      </c>
      <c r="AB980" s="1" t="s">
        <v>4</v>
      </c>
      <c r="AC980" s="1" t="s">
        <v>1</v>
      </c>
      <c r="AD980" s="1" t="s">
        <v>2</v>
      </c>
      <c r="AE980" s="1" t="s">
        <v>0</v>
      </c>
      <c r="AF980" s="1" t="s">
        <v>1</v>
      </c>
      <c r="AG980">
        <f t="shared" si="42"/>
        <v>0</v>
      </c>
    </row>
    <row r="981" spans="27:33" hidden="1" x14ac:dyDescent="0.25">
      <c r="AA981" t="s">
        <v>2016</v>
      </c>
      <c r="AB981" s="1" t="s">
        <v>1</v>
      </c>
      <c r="AC981" s="1" t="s">
        <v>6</v>
      </c>
      <c r="AD981" s="1" t="s">
        <v>1</v>
      </c>
      <c r="AE981" s="1" t="s">
        <v>6</v>
      </c>
      <c r="AF981" s="1" t="s">
        <v>1</v>
      </c>
      <c r="AG981">
        <f t="shared" si="42"/>
        <v>0</v>
      </c>
    </row>
    <row r="982" spans="27:33" hidden="1" x14ac:dyDescent="0.25">
      <c r="AA982" t="s">
        <v>313</v>
      </c>
      <c r="AB982" s="1" t="s">
        <v>0</v>
      </c>
      <c r="AC982" s="1" t="s">
        <v>1</v>
      </c>
      <c r="AD982" s="1" t="s">
        <v>6</v>
      </c>
      <c r="AE982" s="1" t="s">
        <v>5</v>
      </c>
      <c r="AF982" s="1" t="s">
        <v>1</v>
      </c>
      <c r="AG982">
        <f t="shared" si="42"/>
        <v>0</v>
      </c>
    </row>
    <row r="983" spans="27:33" hidden="1" x14ac:dyDescent="0.25">
      <c r="AA983" t="s">
        <v>487</v>
      </c>
      <c r="AB983" s="1" t="s">
        <v>0</v>
      </c>
      <c r="AC983" s="1" t="s">
        <v>8</v>
      </c>
      <c r="AD983" s="1" t="s">
        <v>11</v>
      </c>
      <c r="AE983" s="1" t="s">
        <v>3</v>
      </c>
      <c r="AF983" s="1" t="s">
        <v>5</v>
      </c>
      <c r="AG983">
        <f t="shared" si="42"/>
        <v>0</v>
      </c>
    </row>
    <row r="984" spans="27:33" hidden="1" x14ac:dyDescent="0.25">
      <c r="AA984" t="s">
        <v>946</v>
      </c>
      <c r="AB984" s="1" t="s">
        <v>7</v>
      </c>
      <c r="AC984" s="1" t="s">
        <v>11</v>
      </c>
      <c r="AD984" s="1" t="s">
        <v>3</v>
      </c>
      <c r="AE984" s="1" t="s">
        <v>1915</v>
      </c>
      <c r="AF984" s="1" t="s">
        <v>5</v>
      </c>
      <c r="AG984">
        <f t="shared" si="42"/>
        <v>0</v>
      </c>
    </row>
    <row r="985" spans="27:33" hidden="1" x14ac:dyDescent="0.25">
      <c r="AA985" t="s">
        <v>2257</v>
      </c>
      <c r="AB985" s="1" t="s">
        <v>15</v>
      </c>
      <c r="AC985" s="1" t="s">
        <v>8</v>
      </c>
      <c r="AD985" s="1" t="s">
        <v>1914</v>
      </c>
      <c r="AE985" s="1" t="s">
        <v>5</v>
      </c>
      <c r="AF985" s="1" t="s">
        <v>6</v>
      </c>
      <c r="AG985">
        <f t="shared" si="42"/>
        <v>0</v>
      </c>
    </row>
    <row r="986" spans="27:33" hidden="1" x14ac:dyDescent="0.25">
      <c r="AA986" t="s">
        <v>552</v>
      </c>
      <c r="AB986" s="1" t="s">
        <v>1915</v>
      </c>
      <c r="AC986" s="1" t="s">
        <v>5</v>
      </c>
      <c r="AD986" s="1" t="s">
        <v>2</v>
      </c>
      <c r="AE986" s="1" t="s">
        <v>11</v>
      </c>
      <c r="AF986" s="1" t="s">
        <v>7</v>
      </c>
      <c r="AG986">
        <f t="shared" si="42"/>
        <v>0</v>
      </c>
    </row>
    <row r="987" spans="27:33" hidden="1" x14ac:dyDescent="0.25">
      <c r="AA987" t="s">
        <v>1303</v>
      </c>
      <c r="AB987" s="1" t="s">
        <v>9</v>
      </c>
      <c r="AC987" s="1" t="s">
        <v>11</v>
      </c>
      <c r="AD987" s="1" t="s">
        <v>7</v>
      </c>
      <c r="AE987" s="1" t="s">
        <v>13</v>
      </c>
      <c r="AF987" s="1" t="s">
        <v>1</v>
      </c>
      <c r="AG987">
        <f t="shared" si="42"/>
        <v>0</v>
      </c>
    </row>
    <row r="988" spans="27:33" hidden="1" x14ac:dyDescent="0.25">
      <c r="AA988" t="s">
        <v>1553</v>
      </c>
      <c r="AB988" s="1" t="s">
        <v>2</v>
      </c>
      <c r="AC988" s="1" t="s">
        <v>1</v>
      </c>
      <c r="AD988" s="1" t="s">
        <v>3</v>
      </c>
      <c r="AE988" s="1" t="s">
        <v>6</v>
      </c>
      <c r="AF988" s="1" t="s">
        <v>1</v>
      </c>
      <c r="AG988">
        <f t="shared" si="42"/>
        <v>0</v>
      </c>
    </row>
    <row r="989" spans="27:33" hidden="1" x14ac:dyDescent="0.25">
      <c r="AA989" t="s">
        <v>2168</v>
      </c>
      <c r="AB989" s="1" t="s">
        <v>10</v>
      </c>
      <c r="AC989" s="1" t="s">
        <v>1921</v>
      </c>
      <c r="AD989" s="1" t="s">
        <v>6</v>
      </c>
      <c r="AE989" s="1" t="s">
        <v>11</v>
      </c>
      <c r="AF989" s="1" t="s">
        <v>1</v>
      </c>
      <c r="AG989">
        <f t="shared" si="42"/>
        <v>0</v>
      </c>
    </row>
    <row r="990" spans="27:33" hidden="1" x14ac:dyDescent="0.25">
      <c r="AA990" t="s">
        <v>1274</v>
      </c>
      <c r="AB990" s="1" t="s">
        <v>9</v>
      </c>
      <c r="AC990" s="1" t="s">
        <v>1</v>
      </c>
      <c r="AD990" s="1" t="s">
        <v>3</v>
      </c>
      <c r="AE990" s="1" t="s">
        <v>10</v>
      </c>
      <c r="AF990" s="1" t="s">
        <v>3</v>
      </c>
      <c r="AG990">
        <f t="shared" si="42"/>
        <v>0</v>
      </c>
    </row>
    <row r="991" spans="27:33" hidden="1" x14ac:dyDescent="0.25">
      <c r="AA991" t="s">
        <v>1271</v>
      </c>
      <c r="AB991" s="1" t="s">
        <v>9</v>
      </c>
      <c r="AC991" s="1" t="s">
        <v>1</v>
      </c>
      <c r="AD991" s="1" t="s">
        <v>3</v>
      </c>
      <c r="AE991" s="1" t="s">
        <v>11</v>
      </c>
      <c r="AF991" s="1" t="s">
        <v>1915</v>
      </c>
      <c r="AG991">
        <f t="shared" si="42"/>
        <v>0</v>
      </c>
    </row>
    <row r="992" spans="27:33" hidden="1" x14ac:dyDescent="0.25">
      <c r="AA992" t="s">
        <v>1963</v>
      </c>
      <c r="AB992" s="1" t="s">
        <v>7</v>
      </c>
      <c r="AC992" s="1" t="s">
        <v>5</v>
      </c>
      <c r="AD992" s="1" t="s">
        <v>13</v>
      </c>
      <c r="AE992" s="1" t="s">
        <v>5</v>
      </c>
      <c r="AF992" s="1" t="s">
        <v>2</v>
      </c>
      <c r="AG992">
        <f t="shared" si="42"/>
        <v>0</v>
      </c>
    </row>
    <row r="993" spans="27:33" hidden="1" x14ac:dyDescent="0.25">
      <c r="AA993" t="s">
        <v>2253</v>
      </c>
      <c r="AB993" s="1" t="s">
        <v>9</v>
      </c>
      <c r="AC993" s="1" t="s">
        <v>10</v>
      </c>
      <c r="AD993" s="1" t="s">
        <v>0</v>
      </c>
      <c r="AE993" s="1" t="s">
        <v>5</v>
      </c>
      <c r="AF993" s="1" t="s">
        <v>6</v>
      </c>
      <c r="AG993">
        <f t="shared" si="42"/>
        <v>0</v>
      </c>
    </row>
    <row r="994" spans="27:33" hidden="1" x14ac:dyDescent="0.25">
      <c r="AA994" t="s">
        <v>1754</v>
      </c>
      <c r="AB994" s="1" t="s">
        <v>4</v>
      </c>
      <c r="AC994" s="1" t="s">
        <v>3</v>
      </c>
      <c r="AD994" s="1" t="s">
        <v>1</v>
      </c>
      <c r="AE994" s="1" t="s">
        <v>13</v>
      </c>
      <c r="AF994" s="1" t="s">
        <v>5</v>
      </c>
      <c r="AG994">
        <f t="shared" si="42"/>
        <v>0</v>
      </c>
    </row>
    <row r="995" spans="27:33" hidden="1" x14ac:dyDescent="0.25">
      <c r="AA995" t="s">
        <v>1698</v>
      </c>
      <c r="AB995" s="1" t="s">
        <v>4</v>
      </c>
      <c r="AC995" s="1" t="s">
        <v>11</v>
      </c>
      <c r="AD995" s="1" t="s">
        <v>3</v>
      </c>
      <c r="AE995" s="1" t="s">
        <v>13</v>
      </c>
      <c r="AF995" s="1" t="s">
        <v>5</v>
      </c>
      <c r="AG995">
        <f t="shared" si="42"/>
        <v>0</v>
      </c>
    </row>
    <row r="996" spans="27:33" hidden="1" x14ac:dyDescent="0.25">
      <c r="AA996" t="s">
        <v>282</v>
      </c>
      <c r="AB996" s="1" t="s">
        <v>1914</v>
      </c>
      <c r="AC996" s="1" t="s">
        <v>8</v>
      </c>
      <c r="AD996" s="1" t="s">
        <v>2</v>
      </c>
      <c r="AE996" s="1" t="s">
        <v>0</v>
      </c>
      <c r="AF996" s="1" t="s">
        <v>1</v>
      </c>
      <c r="AG996">
        <f t="shared" si="42"/>
        <v>0</v>
      </c>
    </row>
    <row r="997" spans="27:33" hidden="1" x14ac:dyDescent="0.25">
      <c r="AA997" t="s">
        <v>663</v>
      </c>
      <c r="AB997" s="1" t="s">
        <v>1920</v>
      </c>
      <c r="AC997" s="1" t="s">
        <v>7</v>
      </c>
      <c r="AD997" s="1" t="s">
        <v>11</v>
      </c>
      <c r="AE997" s="1" t="s">
        <v>4</v>
      </c>
      <c r="AF997" s="1" t="s">
        <v>11</v>
      </c>
      <c r="AG997">
        <f t="shared" si="42"/>
        <v>0</v>
      </c>
    </row>
    <row r="998" spans="27:33" hidden="1" x14ac:dyDescent="0.25">
      <c r="AA998" t="s">
        <v>1981</v>
      </c>
      <c r="AB998" s="1" t="s">
        <v>1919</v>
      </c>
      <c r="AC998" s="1" t="s">
        <v>11</v>
      </c>
      <c r="AD998" s="1" t="s">
        <v>0</v>
      </c>
      <c r="AE998" s="1" t="s">
        <v>11</v>
      </c>
      <c r="AF998" s="1" t="s">
        <v>2</v>
      </c>
      <c r="AG998">
        <f t="shared" si="42"/>
        <v>0</v>
      </c>
    </row>
    <row r="999" spans="27:33" hidden="1" x14ac:dyDescent="0.25">
      <c r="AA999" t="s">
        <v>1468</v>
      </c>
      <c r="AB999" s="1" t="s">
        <v>3</v>
      </c>
      <c r="AC999" s="1" t="s">
        <v>11</v>
      </c>
      <c r="AD999" s="1" t="s">
        <v>1916</v>
      </c>
      <c r="AE999" s="1" t="s">
        <v>10</v>
      </c>
      <c r="AF999" s="1" t="s">
        <v>3</v>
      </c>
      <c r="AG999">
        <f t="shared" si="42"/>
        <v>0</v>
      </c>
    </row>
    <row r="1000" spans="27:33" hidden="1" x14ac:dyDescent="0.25">
      <c r="AA1000" t="s">
        <v>1339</v>
      </c>
      <c r="AB1000" s="1" t="s">
        <v>9</v>
      </c>
      <c r="AC1000" s="1" t="s">
        <v>10</v>
      </c>
      <c r="AD1000" s="1" t="s">
        <v>2</v>
      </c>
      <c r="AE1000" s="1" t="s">
        <v>0</v>
      </c>
      <c r="AF1000" s="1" t="s">
        <v>5</v>
      </c>
      <c r="AG1000">
        <f t="shared" si="42"/>
        <v>0</v>
      </c>
    </row>
    <row r="1001" spans="27:33" hidden="1" x14ac:dyDescent="0.25">
      <c r="AA1001" t="s">
        <v>38</v>
      </c>
      <c r="AB1001" s="1" t="s">
        <v>1</v>
      </c>
      <c r="AC1001" s="1" t="s">
        <v>1920</v>
      </c>
      <c r="AD1001" s="1" t="s">
        <v>5</v>
      </c>
      <c r="AE1001" s="1" t="s">
        <v>3</v>
      </c>
      <c r="AF1001" s="1" t="s">
        <v>5</v>
      </c>
      <c r="AG1001">
        <f t="shared" si="42"/>
        <v>0</v>
      </c>
    </row>
    <row r="1002" spans="27:33" hidden="1" x14ac:dyDescent="0.25">
      <c r="AA1002" t="s">
        <v>876</v>
      </c>
      <c r="AB1002" s="1" t="s">
        <v>15</v>
      </c>
      <c r="AC1002" s="1" t="s">
        <v>1</v>
      </c>
      <c r="AD1002" s="1" t="s">
        <v>1915</v>
      </c>
      <c r="AE1002" s="1" t="s">
        <v>11</v>
      </c>
      <c r="AF1002" s="1" t="s">
        <v>5</v>
      </c>
      <c r="AG1002">
        <f t="shared" si="42"/>
        <v>0</v>
      </c>
    </row>
    <row r="1003" spans="27:33" hidden="1" x14ac:dyDescent="0.25">
      <c r="AA1003" t="s">
        <v>1801</v>
      </c>
      <c r="AB1003" s="1" t="s">
        <v>8</v>
      </c>
      <c r="AC1003" s="1" t="s">
        <v>2</v>
      </c>
      <c r="AD1003" s="1" t="s">
        <v>1</v>
      </c>
      <c r="AE1003" s="1" t="s">
        <v>1915</v>
      </c>
      <c r="AF1003" s="1" t="s">
        <v>5</v>
      </c>
      <c r="AG1003">
        <f t="shared" si="42"/>
        <v>0</v>
      </c>
    </row>
    <row r="1004" spans="27:33" hidden="1" x14ac:dyDescent="0.25">
      <c r="AA1004" t="s">
        <v>421</v>
      </c>
      <c r="AB1004" s="1" t="s">
        <v>0</v>
      </c>
      <c r="AC1004" s="1" t="s">
        <v>7</v>
      </c>
      <c r="AD1004" s="1" t="s">
        <v>1</v>
      </c>
      <c r="AE1004" s="1" t="s">
        <v>2</v>
      </c>
      <c r="AF1004" s="1" t="s">
        <v>11</v>
      </c>
      <c r="AG1004">
        <f t="shared" si="42"/>
        <v>0</v>
      </c>
    </row>
    <row r="1005" spans="27:33" hidden="1" x14ac:dyDescent="0.25">
      <c r="AA1005" t="s">
        <v>1315</v>
      </c>
      <c r="AB1005" s="1" t="s">
        <v>9</v>
      </c>
      <c r="AC1005" s="1" t="s">
        <v>11</v>
      </c>
      <c r="AD1005" s="1" t="s">
        <v>3</v>
      </c>
      <c r="AE1005" s="1" t="s">
        <v>2</v>
      </c>
      <c r="AF1005" s="1" t="s">
        <v>1</v>
      </c>
      <c r="AG1005">
        <f t="shared" si="42"/>
        <v>0</v>
      </c>
    </row>
    <row r="1006" spans="27:33" hidden="1" x14ac:dyDescent="0.25">
      <c r="AA1006" t="s">
        <v>242</v>
      </c>
      <c r="AB1006" s="1" t="s">
        <v>1914</v>
      </c>
      <c r="AC1006" s="1" t="s">
        <v>3</v>
      </c>
      <c r="AD1006" s="1" t="s">
        <v>1</v>
      </c>
      <c r="AE1006" s="1" t="s">
        <v>2</v>
      </c>
      <c r="AF1006" s="1" t="s">
        <v>1</v>
      </c>
      <c r="AG1006">
        <f t="shared" si="42"/>
        <v>0</v>
      </c>
    </row>
    <row r="1007" spans="27:33" hidden="1" x14ac:dyDescent="0.25">
      <c r="AA1007" t="s">
        <v>784</v>
      </c>
      <c r="AB1007" s="1" t="s">
        <v>1921</v>
      </c>
      <c r="AC1007" s="1" t="s">
        <v>8</v>
      </c>
      <c r="AD1007" s="1" t="s">
        <v>1</v>
      </c>
      <c r="AE1007" s="1" t="s">
        <v>2</v>
      </c>
      <c r="AF1007" s="1" t="s">
        <v>1</v>
      </c>
      <c r="AG1007">
        <f t="shared" si="42"/>
        <v>0</v>
      </c>
    </row>
    <row r="1008" spans="27:33" hidden="1" x14ac:dyDescent="0.25">
      <c r="AA1008" t="s">
        <v>701</v>
      </c>
      <c r="AB1008" s="1" t="s">
        <v>1920</v>
      </c>
      <c r="AC1008" s="1" t="s">
        <v>8</v>
      </c>
      <c r="AD1008" s="1" t="s">
        <v>6</v>
      </c>
      <c r="AE1008" s="1" t="s">
        <v>1915</v>
      </c>
      <c r="AF1008" s="1" t="s">
        <v>1</v>
      </c>
      <c r="AG1008">
        <f t="shared" si="42"/>
        <v>0</v>
      </c>
    </row>
    <row r="1009" spans="27:33" hidden="1" x14ac:dyDescent="0.25">
      <c r="AA1009" t="s">
        <v>622</v>
      </c>
      <c r="AB1009" s="1" t="s">
        <v>1920</v>
      </c>
      <c r="AC1009" s="1" t="s">
        <v>1</v>
      </c>
      <c r="AD1009" s="1" t="s">
        <v>4</v>
      </c>
      <c r="AE1009" s="1" t="s">
        <v>1</v>
      </c>
      <c r="AF1009" s="1" t="s">
        <v>7</v>
      </c>
      <c r="AG1009">
        <f t="shared" si="42"/>
        <v>0</v>
      </c>
    </row>
    <row r="1010" spans="27:33" hidden="1" x14ac:dyDescent="0.25">
      <c r="AA1010" t="s">
        <v>1909</v>
      </c>
      <c r="AB1010" s="1" t="s">
        <v>12</v>
      </c>
      <c r="AC1010" s="1" t="s">
        <v>8</v>
      </c>
      <c r="AD1010" s="1" t="s">
        <v>11</v>
      </c>
      <c r="AE1010" s="1" t="s">
        <v>0</v>
      </c>
      <c r="AF1010" s="1" t="s">
        <v>5</v>
      </c>
      <c r="AG1010">
        <f t="shared" si="42"/>
        <v>0</v>
      </c>
    </row>
    <row r="1011" spans="27:33" hidden="1" x14ac:dyDescent="0.25">
      <c r="AA1011" t="s">
        <v>291</v>
      </c>
      <c r="AB1011" s="1" t="s">
        <v>0</v>
      </c>
      <c r="AC1011" s="1" t="s">
        <v>1</v>
      </c>
      <c r="AD1011" s="1" t="s">
        <v>0</v>
      </c>
      <c r="AE1011" s="1" t="s">
        <v>1917</v>
      </c>
      <c r="AF1011" s="1" t="s">
        <v>5</v>
      </c>
      <c r="AG1011">
        <f t="shared" si="42"/>
        <v>0</v>
      </c>
    </row>
    <row r="1012" spans="27:33" hidden="1" x14ac:dyDescent="0.25">
      <c r="AA1012" t="s">
        <v>1418</v>
      </c>
      <c r="AB1012" s="1" t="s">
        <v>1923</v>
      </c>
      <c r="AC1012" s="1" t="s">
        <v>8</v>
      </c>
      <c r="AD1012" s="1" t="s">
        <v>11</v>
      </c>
      <c r="AE1012" s="1" t="s">
        <v>1915</v>
      </c>
      <c r="AF1012" s="1" t="s">
        <v>5</v>
      </c>
      <c r="AG1012">
        <f t="shared" si="42"/>
        <v>0</v>
      </c>
    </row>
    <row r="1013" spans="27:33" hidden="1" x14ac:dyDescent="0.25">
      <c r="AA1013" t="s">
        <v>1269</v>
      </c>
      <c r="AB1013" s="1" t="s">
        <v>9</v>
      </c>
      <c r="AC1013" s="1" t="s">
        <v>1</v>
      </c>
      <c r="AD1013" s="1" t="s">
        <v>3</v>
      </c>
      <c r="AE1013" s="1" t="s">
        <v>1915</v>
      </c>
      <c r="AF1013" s="1" t="s">
        <v>1</v>
      </c>
      <c r="AG1013">
        <f t="shared" si="42"/>
        <v>0</v>
      </c>
    </row>
    <row r="1014" spans="27:33" hidden="1" x14ac:dyDescent="0.25">
      <c r="AA1014" t="s">
        <v>1717</v>
      </c>
      <c r="AB1014" s="1" t="s">
        <v>4</v>
      </c>
      <c r="AC1014" s="1" t="s">
        <v>10</v>
      </c>
      <c r="AD1014" s="1" t="s">
        <v>6</v>
      </c>
      <c r="AE1014" s="1" t="s">
        <v>4</v>
      </c>
      <c r="AF1014" s="1" t="s">
        <v>11</v>
      </c>
      <c r="AG1014">
        <f t="shared" si="42"/>
        <v>0</v>
      </c>
    </row>
    <row r="1015" spans="27:33" hidden="1" x14ac:dyDescent="0.25">
      <c r="AA1015" t="s">
        <v>2123</v>
      </c>
      <c r="AB1015" s="1" t="s">
        <v>10</v>
      </c>
      <c r="AC1015" s="1" t="s">
        <v>7</v>
      </c>
      <c r="AD1015" s="1" t="s">
        <v>11</v>
      </c>
      <c r="AE1015" s="1" t="s">
        <v>5</v>
      </c>
      <c r="AF1015" s="1" t="s">
        <v>6</v>
      </c>
      <c r="AG1015">
        <f t="shared" si="42"/>
        <v>0</v>
      </c>
    </row>
    <row r="1016" spans="27:33" hidden="1" x14ac:dyDescent="0.25">
      <c r="AA1016" t="s">
        <v>910</v>
      </c>
      <c r="AB1016" s="1" t="s">
        <v>14</v>
      </c>
      <c r="AC1016" s="1" t="s">
        <v>11</v>
      </c>
      <c r="AD1016" s="1" t="s">
        <v>1914</v>
      </c>
      <c r="AE1016" s="1" t="s">
        <v>1</v>
      </c>
      <c r="AF1016" s="1" t="s">
        <v>1914</v>
      </c>
      <c r="AG1016">
        <f t="shared" si="42"/>
        <v>0</v>
      </c>
    </row>
    <row r="1017" spans="27:33" hidden="1" x14ac:dyDescent="0.25">
      <c r="AA1017" t="s">
        <v>894</v>
      </c>
      <c r="AB1017" s="1" t="s">
        <v>15</v>
      </c>
      <c r="AC1017" s="1" t="s">
        <v>5</v>
      </c>
      <c r="AD1017" s="1" t="s">
        <v>1919</v>
      </c>
      <c r="AE1017" s="1" t="s">
        <v>11</v>
      </c>
      <c r="AF1017" s="1" t="s">
        <v>6</v>
      </c>
      <c r="AG1017">
        <f t="shared" si="42"/>
        <v>0</v>
      </c>
    </row>
    <row r="1018" spans="27:33" hidden="1" x14ac:dyDescent="0.25">
      <c r="AA1018" t="s">
        <v>573</v>
      </c>
      <c r="AB1018" s="1" t="s">
        <v>11</v>
      </c>
      <c r="AC1018" s="1" t="s">
        <v>1914</v>
      </c>
      <c r="AD1018" s="1" t="s">
        <v>3</v>
      </c>
      <c r="AE1018" s="1" t="s">
        <v>10</v>
      </c>
      <c r="AF1018" s="1" t="s">
        <v>1</v>
      </c>
      <c r="AG1018">
        <f t="shared" si="42"/>
        <v>0</v>
      </c>
    </row>
    <row r="1019" spans="27:33" hidden="1" x14ac:dyDescent="0.25">
      <c r="AA1019" t="s">
        <v>1867</v>
      </c>
      <c r="AB1019" s="1" t="s">
        <v>1919</v>
      </c>
      <c r="AC1019" s="1" t="s">
        <v>10</v>
      </c>
      <c r="AD1019" s="1" t="s">
        <v>1919</v>
      </c>
      <c r="AE1019" s="1" t="s">
        <v>10</v>
      </c>
      <c r="AF1019" s="1" t="s">
        <v>3</v>
      </c>
      <c r="AG1019">
        <f t="shared" si="42"/>
        <v>0</v>
      </c>
    </row>
    <row r="1020" spans="27:33" hidden="1" x14ac:dyDescent="0.25">
      <c r="AA1020" t="s">
        <v>2217</v>
      </c>
      <c r="AB1020" s="1" t="s">
        <v>1914</v>
      </c>
      <c r="AC1020" s="1" t="s">
        <v>5</v>
      </c>
      <c r="AD1020" s="1" t="s">
        <v>4</v>
      </c>
      <c r="AE1020" s="1" t="s">
        <v>5</v>
      </c>
      <c r="AF1020" s="1" t="s">
        <v>1922</v>
      </c>
      <c r="AG1020">
        <f t="shared" si="42"/>
        <v>0</v>
      </c>
    </row>
    <row r="1021" spans="27:33" hidden="1" x14ac:dyDescent="0.25">
      <c r="AA1021" t="s">
        <v>982</v>
      </c>
      <c r="AB1021" s="1" t="s">
        <v>7</v>
      </c>
      <c r="AC1021" s="1" t="s">
        <v>7</v>
      </c>
      <c r="AD1021" s="1" t="s">
        <v>11</v>
      </c>
      <c r="AE1021" s="1" t="s">
        <v>6</v>
      </c>
      <c r="AF1021" s="1" t="s">
        <v>5</v>
      </c>
      <c r="AG1021">
        <f t="shared" si="42"/>
        <v>0</v>
      </c>
    </row>
    <row r="1022" spans="27:33" hidden="1" x14ac:dyDescent="0.25">
      <c r="AA1022" t="s">
        <v>936</v>
      </c>
      <c r="AB1022" s="1" t="s">
        <v>7</v>
      </c>
      <c r="AC1022" s="1" t="s">
        <v>11</v>
      </c>
      <c r="AD1022" s="1" t="s">
        <v>1921</v>
      </c>
      <c r="AE1022" s="1" t="s">
        <v>1</v>
      </c>
      <c r="AF1022" s="1" t="s">
        <v>7</v>
      </c>
      <c r="AG1022">
        <f t="shared" si="42"/>
        <v>0</v>
      </c>
    </row>
    <row r="1023" spans="27:33" hidden="1" x14ac:dyDescent="0.25">
      <c r="AA1023" t="s">
        <v>1371</v>
      </c>
      <c r="AB1023" s="1" t="s">
        <v>9</v>
      </c>
      <c r="AC1023" s="1" t="s">
        <v>5</v>
      </c>
      <c r="AD1023" s="1" t="s">
        <v>7</v>
      </c>
      <c r="AE1023" s="1" t="s">
        <v>11</v>
      </c>
      <c r="AF1023" s="1" t="s">
        <v>6</v>
      </c>
      <c r="AG1023">
        <f t="shared" si="42"/>
        <v>0</v>
      </c>
    </row>
    <row r="1024" spans="27:33" hidden="1" x14ac:dyDescent="0.25">
      <c r="AA1024" t="s">
        <v>1491</v>
      </c>
      <c r="AB1024" s="1" t="s">
        <v>3</v>
      </c>
      <c r="AC1024" s="1" t="s">
        <v>5</v>
      </c>
      <c r="AD1024" s="1" t="s">
        <v>1914</v>
      </c>
      <c r="AE1024" s="1" t="s">
        <v>5</v>
      </c>
      <c r="AF1024" s="1" t="s">
        <v>4</v>
      </c>
      <c r="AG1024">
        <f t="shared" si="42"/>
        <v>0</v>
      </c>
    </row>
    <row r="1025" spans="27:33" hidden="1" x14ac:dyDescent="0.25">
      <c r="AA1025" t="s">
        <v>1799</v>
      </c>
      <c r="AB1025" s="1" t="s">
        <v>8</v>
      </c>
      <c r="AC1025" s="1" t="s">
        <v>3</v>
      </c>
      <c r="AD1025" s="1" t="s">
        <v>1921</v>
      </c>
      <c r="AE1025" s="1" t="s">
        <v>10</v>
      </c>
      <c r="AF1025" s="1" t="s">
        <v>3</v>
      </c>
      <c r="AG1025">
        <f t="shared" si="42"/>
        <v>0</v>
      </c>
    </row>
    <row r="1026" spans="27:33" hidden="1" x14ac:dyDescent="0.25">
      <c r="AA1026" t="s">
        <v>2279</v>
      </c>
      <c r="AB1026" s="1" t="s">
        <v>4</v>
      </c>
      <c r="AC1026" s="1" t="s">
        <v>11</v>
      </c>
      <c r="AD1026" s="1" t="s">
        <v>15</v>
      </c>
      <c r="AE1026" s="1" t="s">
        <v>5</v>
      </c>
      <c r="AF1026" s="1" t="s">
        <v>6</v>
      </c>
      <c r="AG1026">
        <f t="shared" si="42"/>
        <v>0</v>
      </c>
    </row>
    <row r="1027" spans="27:33" hidden="1" x14ac:dyDescent="0.25">
      <c r="AA1027" t="s">
        <v>1259</v>
      </c>
      <c r="AB1027" s="1" t="s">
        <v>9</v>
      </c>
      <c r="AC1027" s="1" t="s">
        <v>1</v>
      </c>
      <c r="AD1027" s="1" t="s">
        <v>6</v>
      </c>
      <c r="AE1027" s="1" t="s">
        <v>11</v>
      </c>
      <c r="AF1027" s="1" t="s">
        <v>7</v>
      </c>
      <c r="AG1027">
        <f t="shared" ref="AG1027:AG1090" si="43">IF(AND(Z1027&gt;0,Z1027&lt;7),AG1026+1,0)</f>
        <v>0</v>
      </c>
    </row>
    <row r="1028" spans="27:33" hidden="1" x14ac:dyDescent="0.25">
      <c r="AA1028" t="s">
        <v>2045</v>
      </c>
      <c r="AB1028" s="1" t="s">
        <v>0</v>
      </c>
      <c r="AC1028" s="1" t="s">
        <v>1</v>
      </c>
      <c r="AD1028" s="1" t="s">
        <v>0</v>
      </c>
      <c r="AE1028" s="1" t="s">
        <v>1917</v>
      </c>
      <c r="AF1028" s="1" t="s">
        <v>11</v>
      </c>
      <c r="AG1028">
        <f t="shared" si="43"/>
        <v>0</v>
      </c>
    </row>
    <row r="1029" spans="27:33" hidden="1" x14ac:dyDescent="0.25">
      <c r="AA1029" t="s">
        <v>41</v>
      </c>
      <c r="AB1029" s="1" t="s">
        <v>1</v>
      </c>
      <c r="AC1029" s="1" t="s">
        <v>1921</v>
      </c>
      <c r="AD1029" s="1" t="s">
        <v>8</v>
      </c>
      <c r="AE1029" s="1" t="s">
        <v>1</v>
      </c>
      <c r="AF1029" s="1" t="s">
        <v>3</v>
      </c>
      <c r="AG1029">
        <f t="shared" si="43"/>
        <v>0</v>
      </c>
    </row>
    <row r="1030" spans="27:33" hidden="1" x14ac:dyDescent="0.25">
      <c r="AA1030" t="s">
        <v>2021</v>
      </c>
      <c r="AB1030" s="1" t="s">
        <v>1</v>
      </c>
      <c r="AC1030" s="1" t="s">
        <v>6</v>
      </c>
      <c r="AD1030" s="1" t="s">
        <v>1</v>
      </c>
      <c r="AE1030" s="1" t="s">
        <v>1915</v>
      </c>
      <c r="AF1030" s="1" t="s">
        <v>11</v>
      </c>
      <c r="AG1030">
        <f t="shared" si="43"/>
        <v>0</v>
      </c>
    </row>
    <row r="1031" spans="27:33" hidden="1" x14ac:dyDescent="0.25">
      <c r="AA1031" t="s">
        <v>290</v>
      </c>
      <c r="AB1031" s="1" t="s">
        <v>0</v>
      </c>
      <c r="AC1031" s="1" t="s">
        <v>1</v>
      </c>
      <c r="AD1031" s="1" t="s">
        <v>0</v>
      </c>
      <c r="AE1031" s="1" t="s">
        <v>1917</v>
      </c>
      <c r="AF1031" s="1" t="s">
        <v>1</v>
      </c>
      <c r="AG1031">
        <f t="shared" si="43"/>
        <v>0</v>
      </c>
    </row>
    <row r="1032" spans="27:33" hidden="1" x14ac:dyDescent="0.25">
      <c r="AA1032" t="s">
        <v>735</v>
      </c>
      <c r="AB1032" s="1" t="s">
        <v>1921</v>
      </c>
      <c r="AC1032" s="1" t="s">
        <v>7</v>
      </c>
      <c r="AD1032" s="1" t="s">
        <v>5</v>
      </c>
      <c r="AE1032" s="1" t="s">
        <v>1914</v>
      </c>
      <c r="AF1032" s="1" t="s">
        <v>5</v>
      </c>
      <c r="AG1032">
        <f t="shared" si="43"/>
        <v>0</v>
      </c>
    </row>
    <row r="1033" spans="27:33" hidden="1" x14ac:dyDescent="0.25">
      <c r="AA1033" t="s">
        <v>2068</v>
      </c>
      <c r="AB1033" s="1" t="s">
        <v>11</v>
      </c>
      <c r="AC1033" s="1" t="s">
        <v>1914</v>
      </c>
      <c r="AD1033" s="1" t="s">
        <v>1</v>
      </c>
      <c r="AE1033" s="1" t="s">
        <v>6</v>
      </c>
      <c r="AF1033" s="1" t="s">
        <v>5</v>
      </c>
      <c r="AG1033">
        <f t="shared" si="43"/>
        <v>0</v>
      </c>
    </row>
    <row r="1034" spans="27:33" hidden="1" x14ac:dyDescent="0.25">
      <c r="AA1034" t="s">
        <v>1014</v>
      </c>
      <c r="AB1034" s="1" t="s">
        <v>13</v>
      </c>
      <c r="AC1034" s="1" t="s">
        <v>1</v>
      </c>
      <c r="AD1034" s="1" t="s">
        <v>7</v>
      </c>
      <c r="AE1034" s="1" t="s">
        <v>4</v>
      </c>
      <c r="AF1034" s="1" t="s">
        <v>1</v>
      </c>
      <c r="AG1034">
        <f t="shared" si="43"/>
        <v>0</v>
      </c>
    </row>
    <row r="1035" spans="27:33" hidden="1" x14ac:dyDescent="0.25">
      <c r="AA1035" t="s">
        <v>919</v>
      </c>
      <c r="AB1035" s="1" t="s">
        <v>7</v>
      </c>
      <c r="AC1035" s="1" t="s">
        <v>1</v>
      </c>
      <c r="AD1035" s="1" t="s">
        <v>1915</v>
      </c>
      <c r="AE1035" s="1" t="s">
        <v>11</v>
      </c>
      <c r="AF1035" s="1" t="s">
        <v>5</v>
      </c>
      <c r="AG1035">
        <f t="shared" si="43"/>
        <v>0</v>
      </c>
    </row>
    <row r="1036" spans="27:33" hidden="1" x14ac:dyDescent="0.25">
      <c r="AA1036" t="s">
        <v>737</v>
      </c>
      <c r="AB1036" s="1" t="s">
        <v>1921</v>
      </c>
      <c r="AC1036" s="1" t="s">
        <v>5</v>
      </c>
      <c r="AD1036" s="1" t="s">
        <v>1914</v>
      </c>
      <c r="AE1036" s="1" t="s">
        <v>10</v>
      </c>
      <c r="AF1036" s="1" t="s">
        <v>5</v>
      </c>
      <c r="AG1036">
        <f t="shared" si="43"/>
        <v>0</v>
      </c>
    </row>
    <row r="1037" spans="27:33" hidden="1" x14ac:dyDescent="0.25">
      <c r="AA1037" t="s">
        <v>2039</v>
      </c>
      <c r="AB1037" s="1" t="s">
        <v>7</v>
      </c>
      <c r="AC1037" s="1" t="s">
        <v>1</v>
      </c>
      <c r="AD1037" s="1" t="s">
        <v>9</v>
      </c>
      <c r="AE1037" s="1" t="s">
        <v>10</v>
      </c>
      <c r="AF1037" s="1" t="s">
        <v>12</v>
      </c>
      <c r="AG1037">
        <f t="shared" si="43"/>
        <v>0</v>
      </c>
    </row>
    <row r="1038" spans="27:33" hidden="1" x14ac:dyDescent="0.25">
      <c r="AA1038" t="s">
        <v>817</v>
      </c>
      <c r="AB1038" s="1" t="s">
        <v>1917</v>
      </c>
      <c r="AC1038" s="1" t="s">
        <v>11</v>
      </c>
      <c r="AD1038" s="1" t="s">
        <v>3</v>
      </c>
      <c r="AE1038" s="1" t="s">
        <v>10</v>
      </c>
      <c r="AF1038" s="1" t="s">
        <v>3</v>
      </c>
      <c r="AG1038">
        <f t="shared" si="43"/>
        <v>0</v>
      </c>
    </row>
    <row r="1039" spans="27:33" hidden="1" x14ac:dyDescent="0.25">
      <c r="AA1039" t="s">
        <v>713</v>
      </c>
      <c r="AB1039" s="1" t="s">
        <v>1921</v>
      </c>
      <c r="AC1039" s="1" t="s">
        <v>1</v>
      </c>
      <c r="AD1039" s="1" t="s">
        <v>7</v>
      </c>
      <c r="AE1039" s="1" t="s">
        <v>7</v>
      </c>
      <c r="AF1039" s="1" t="s">
        <v>5</v>
      </c>
      <c r="AG1039">
        <f t="shared" si="43"/>
        <v>0</v>
      </c>
    </row>
    <row r="1040" spans="27:33" hidden="1" x14ac:dyDescent="0.25">
      <c r="AA1040" t="s">
        <v>509</v>
      </c>
      <c r="AB1040" s="1" t="s">
        <v>1915</v>
      </c>
      <c r="AC1040" s="1" t="s">
        <v>1</v>
      </c>
      <c r="AD1040" s="1" t="s">
        <v>7</v>
      </c>
      <c r="AE1040" s="1" t="s">
        <v>10</v>
      </c>
      <c r="AF1040" s="1" t="s">
        <v>1</v>
      </c>
      <c r="AG1040">
        <f t="shared" si="43"/>
        <v>0</v>
      </c>
    </row>
    <row r="1041" spans="27:33" hidden="1" x14ac:dyDescent="0.25">
      <c r="AA1041" t="s">
        <v>2244</v>
      </c>
      <c r="AB1041" s="1" t="s">
        <v>9</v>
      </c>
      <c r="AC1041" s="1" t="s">
        <v>1</v>
      </c>
      <c r="AD1041" s="1" t="s">
        <v>3</v>
      </c>
      <c r="AE1041" s="1" t="s">
        <v>5</v>
      </c>
      <c r="AF1041" s="1" t="s">
        <v>6</v>
      </c>
      <c r="AG1041">
        <f t="shared" si="43"/>
        <v>0</v>
      </c>
    </row>
    <row r="1042" spans="27:33" hidden="1" x14ac:dyDescent="0.25">
      <c r="AA1042" t="s">
        <v>2055</v>
      </c>
      <c r="AB1042" s="1" t="s">
        <v>11</v>
      </c>
      <c r="AC1042" s="1" t="s">
        <v>1914</v>
      </c>
      <c r="AD1042" s="1" t="s">
        <v>5</v>
      </c>
      <c r="AE1042" s="1" t="s">
        <v>7</v>
      </c>
      <c r="AF1042" s="1" t="s">
        <v>1</v>
      </c>
      <c r="AG1042">
        <f t="shared" si="43"/>
        <v>0</v>
      </c>
    </row>
    <row r="1043" spans="27:33" hidden="1" x14ac:dyDescent="0.25">
      <c r="AA1043" t="s">
        <v>1617</v>
      </c>
      <c r="AB1043" s="1" t="s">
        <v>2</v>
      </c>
      <c r="AC1043" s="1" t="s">
        <v>5</v>
      </c>
      <c r="AD1043" s="1" t="s">
        <v>6</v>
      </c>
      <c r="AE1043" s="1" t="s">
        <v>1915</v>
      </c>
      <c r="AF1043" s="1" t="s">
        <v>1</v>
      </c>
      <c r="AG1043">
        <f t="shared" si="43"/>
        <v>0</v>
      </c>
    </row>
    <row r="1044" spans="27:33" hidden="1" x14ac:dyDescent="0.25">
      <c r="AA1044" t="s">
        <v>680</v>
      </c>
      <c r="AB1044" s="1" t="s">
        <v>1920</v>
      </c>
      <c r="AC1044" s="1" t="s">
        <v>5</v>
      </c>
      <c r="AD1044" s="1" t="s">
        <v>3</v>
      </c>
      <c r="AE1044" s="1" t="s">
        <v>15</v>
      </c>
      <c r="AF1044" s="1" t="s">
        <v>1</v>
      </c>
      <c r="AG1044">
        <f t="shared" si="43"/>
        <v>0</v>
      </c>
    </row>
    <row r="1045" spans="27:33" hidden="1" x14ac:dyDescent="0.25">
      <c r="AA1045" t="s">
        <v>1304</v>
      </c>
      <c r="AB1045" s="1" t="s">
        <v>9</v>
      </c>
      <c r="AC1045" s="1" t="s">
        <v>11</v>
      </c>
      <c r="AD1045" s="1" t="s">
        <v>6</v>
      </c>
      <c r="AE1045" s="1" t="s">
        <v>1</v>
      </c>
      <c r="AF1045" s="1" t="s">
        <v>7</v>
      </c>
      <c r="AG1045">
        <f t="shared" si="43"/>
        <v>0</v>
      </c>
    </row>
    <row r="1046" spans="27:33" hidden="1" x14ac:dyDescent="0.25">
      <c r="AA1046" t="s">
        <v>854</v>
      </c>
      <c r="AB1046" s="1" t="s">
        <v>1917</v>
      </c>
      <c r="AC1046" s="1" t="s">
        <v>8</v>
      </c>
      <c r="AD1046" s="1" t="s">
        <v>3</v>
      </c>
      <c r="AE1046" s="1" t="s">
        <v>3</v>
      </c>
      <c r="AF1046" s="1" t="s">
        <v>1</v>
      </c>
      <c r="AG1046">
        <f t="shared" si="43"/>
        <v>0</v>
      </c>
    </row>
    <row r="1047" spans="27:33" hidden="1" x14ac:dyDescent="0.25">
      <c r="AA1047" t="s">
        <v>1024</v>
      </c>
      <c r="AB1047" s="1" t="s">
        <v>13</v>
      </c>
      <c r="AC1047" s="1" t="s">
        <v>1</v>
      </c>
      <c r="AD1047" s="1" t="s">
        <v>6</v>
      </c>
      <c r="AE1047" s="1" t="s">
        <v>1921</v>
      </c>
      <c r="AF1047" s="1" t="s">
        <v>1</v>
      </c>
      <c r="AG1047">
        <f t="shared" si="43"/>
        <v>0</v>
      </c>
    </row>
    <row r="1048" spans="27:33" hidden="1" x14ac:dyDescent="0.25">
      <c r="AA1048" t="s">
        <v>2285</v>
      </c>
      <c r="AB1048" s="1" t="s">
        <v>7</v>
      </c>
      <c r="AC1048" s="1" t="s">
        <v>10</v>
      </c>
      <c r="AD1048" s="1" t="s">
        <v>1921</v>
      </c>
      <c r="AE1048" s="1" t="s">
        <v>5</v>
      </c>
      <c r="AF1048" s="1" t="s">
        <v>6</v>
      </c>
      <c r="AG1048">
        <f t="shared" si="43"/>
        <v>0</v>
      </c>
    </row>
    <row r="1049" spans="27:33" hidden="1" x14ac:dyDescent="0.25">
      <c r="AA1049" t="s">
        <v>1713</v>
      </c>
      <c r="AB1049" s="1" t="s">
        <v>4</v>
      </c>
      <c r="AC1049" s="1" t="s">
        <v>10</v>
      </c>
      <c r="AD1049" s="1" t="s">
        <v>7</v>
      </c>
      <c r="AE1049" s="1" t="s">
        <v>1915</v>
      </c>
      <c r="AF1049" s="1" t="s">
        <v>11</v>
      </c>
      <c r="AG1049">
        <f t="shared" si="43"/>
        <v>0</v>
      </c>
    </row>
    <row r="1050" spans="27:33" hidden="1" x14ac:dyDescent="0.25">
      <c r="AA1050" t="s">
        <v>45</v>
      </c>
      <c r="AB1050" s="1" t="s">
        <v>1</v>
      </c>
      <c r="AC1050" s="1" t="s">
        <v>1917</v>
      </c>
      <c r="AD1050" s="1" t="s">
        <v>5</v>
      </c>
      <c r="AE1050" s="1" t="s">
        <v>1921</v>
      </c>
      <c r="AF1050" s="1" t="s">
        <v>5</v>
      </c>
      <c r="AG1050">
        <f t="shared" si="43"/>
        <v>0</v>
      </c>
    </row>
    <row r="1051" spans="27:33" hidden="1" x14ac:dyDescent="0.25">
      <c r="AA1051" t="s">
        <v>178</v>
      </c>
      <c r="AB1051" s="1" t="s">
        <v>1914</v>
      </c>
      <c r="AC1051" s="1" t="s">
        <v>1</v>
      </c>
      <c r="AD1051" s="1" t="s">
        <v>3</v>
      </c>
      <c r="AE1051" s="1" t="s">
        <v>0</v>
      </c>
      <c r="AF1051" s="1" t="s">
        <v>5</v>
      </c>
      <c r="AG1051">
        <f t="shared" si="43"/>
        <v>0</v>
      </c>
    </row>
    <row r="1052" spans="27:33" hidden="1" x14ac:dyDescent="0.25">
      <c r="AA1052" t="s">
        <v>1789</v>
      </c>
      <c r="AB1052" s="1" t="s">
        <v>4</v>
      </c>
      <c r="AC1052" s="1" t="s">
        <v>8</v>
      </c>
      <c r="AD1052" s="1" t="s">
        <v>4</v>
      </c>
      <c r="AE1052" s="1" t="s">
        <v>5</v>
      </c>
      <c r="AF1052" s="1" t="s">
        <v>3</v>
      </c>
      <c r="AG1052">
        <f t="shared" si="43"/>
        <v>0</v>
      </c>
    </row>
    <row r="1053" spans="27:33" hidden="1" x14ac:dyDescent="0.25">
      <c r="AA1053" t="s">
        <v>345</v>
      </c>
      <c r="AB1053" s="1" t="s">
        <v>0</v>
      </c>
      <c r="AC1053" s="1" t="s">
        <v>1</v>
      </c>
      <c r="AD1053" s="1" t="s">
        <v>8</v>
      </c>
      <c r="AE1053" s="1" t="s">
        <v>0</v>
      </c>
      <c r="AF1053" s="1" t="s">
        <v>11</v>
      </c>
      <c r="AG1053">
        <f t="shared" si="43"/>
        <v>0</v>
      </c>
    </row>
    <row r="1054" spans="27:33" hidden="1" x14ac:dyDescent="0.25">
      <c r="AA1054" t="s">
        <v>1657</v>
      </c>
      <c r="AB1054" s="1" t="s">
        <v>4</v>
      </c>
      <c r="AC1054" s="1" t="s">
        <v>1</v>
      </c>
      <c r="AD1054" s="1" t="s">
        <v>1916</v>
      </c>
      <c r="AE1054" s="1" t="s">
        <v>11</v>
      </c>
      <c r="AF1054" s="1" t="s">
        <v>3</v>
      </c>
      <c r="AG1054">
        <f t="shared" si="43"/>
        <v>0</v>
      </c>
    </row>
    <row r="1055" spans="27:33" hidden="1" x14ac:dyDescent="0.25">
      <c r="AA1055" t="s">
        <v>682</v>
      </c>
      <c r="AB1055" s="1" t="s">
        <v>1920</v>
      </c>
      <c r="AC1055" s="1" t="s">
        <v>5</v>
      </c>
      <c r="AD1055" s="1" t="s">
        <v>3</v>
      </c>
      <c r="AE1055" s="1" t="s">
        <v>3</v>
      </c>
      <c r="AF1055" s="1" t="s">
        <v>5</v>
      </c>
      <c r="AG1055">
        <f t="shared" si="43"/>
        <v>0</v>
      </c>
    </row>
    <row r="1056" spans="27:33" hidden="1" x14ac:dyDescent="0.25">
      <c r="AA1056" t="s">
        <v>1973</v>
      </c>
      <c r="AB1056" s="1" t="s">
        <v>2</v>
      </c>
      <c r="AC1056" s="1" t="s">
        <v>11</v>
      </c>
      <c r="AD1056" s="1" t="s">
        <v>2</v>
      </c>
      <c r="AE1056" s="1" t="s">
        <v>5</v>
      </c>
      <c r="AF1056" s="1" t="s">
        <v>2</v>
      </c>
      <c r="AG1056">
        <f t="shared" si="43"/>
        <v>0</v>
      </c>
    </row>
    <row r="1057" spans="27:33" hidden="1" x14ac:dyDescent="0.25">
      <c r="AA1057" t="s">
        <v>833</v>
      </c>
      <c r="AB1057" s="1" t="s">
        <v>1917</v>
      </c>
      <c r="AC1057" s="1" t="s">
        <v>5</v>
      </c>
      <c r="AD1057" s="1" t="s">
        <v>6</v>
      </c>
      <c r="AE1057" s="1" t="s">
        <v>5</v>
      </c>
      <c r="AF1057" s="1" t="s">
        <v>3</v>
      </c>
      <c r="AG1057">
        <f t="shared" si="43"/>
        <v>0</v>
      </c>
    </row>
    <row r="1058" spans="27:33" hidden="1" x14ac:dyDescent="0.25">
      <c r="AA1058" t="s">
        <v>441</v>
      </c>
      <c r="AB1058" s="1" t="s">
        <v>0</v>
      </c>
      <c r="AC1058" s="1" t="s">
        <v>5</v>
      </c>
      <c r="AD1058" s="1" t="s">
        <v>7</v>
      </c>
      <c r="AE1058" s="1" t="s">
        <v>5</v>
      </c>
      <c r="AF1058" s="1" t="s">
        <v>3</v>
      </c>
      <c r="AG1058">
        <f t="shared" si="43"/>
        <v>0</v>
      </c>
    </row>
    <row r="1059" spans="27:33" hidden="1" x14ac:dyDescent="0.25">
      <c r="AA1059" t="s">
        <v>549</v>
      </c>
      <c r="AB1059" s="1" t="s">
        <v>1915</v>
      </c>
      <c r="AC1059" s="1" t="s">
        <v>5</v>
      </c>
      <c r="AD1059" s="1" t="s">
        <v>9</v>
      </c>
      <c r="AE1059" s="1" t="s">
        <v>1</v>
      </c>
      <c r="AF1059" s="1" t="s">
        <v>3</v>
      </c>
      <c r="AG1059">
        <f t="shared" si="43"/>
        <v>0</v>
      </c>
    </row>
    <row r="1060" spans="27:33" hidden="1" x14ac:dyDescent="0.25">
      <c r="AA1060" t="s">
        <v>234</v>
      </c>
      <c r="AB1060" s="1" t="s">
        <v>1914</v>
      </c>
      <c r="AC1060" s="1" t="s">
        <v>5</v>
      </c>
      <c r="AD1060" s="1" t="s">
        <v>3</v>
      </c>
      <c r="AE1060" s="1" t="s">
        <v>1915</v>
      </c>
      <c r="AF1060" s="1" t="s">
        <v>1</v>
      </c>
      <c r="AG1060">
        <f t="shared" si="43"/>
        <v>0</v>
      </c>
    </row>
    <row r="1061" spans="27:33" hidden="1" x14ac:dyDescent="0.25">
      <c r="AA1061" t="s">
        <v>1823</v>
      </c>
      <c r="AB1061" s="1" t="s">
        <v>1919</v>
      </c>
      <c r="AC1061" s="1" t="s">
        <v>11</v>
      </c>
      <c r="AD1061" s="1" t="s">
        <v>15</v>
      </c>
      <c r="AE1061" s="1" t="s">
        <v>1</v>
      </c>
      <c r="AF1061" s="1" t="s">
        <v>3</v>
      </c>
      <c r="AG1061">
        <f t="shared" si="43"/>
        <v>0</v>
      </c>
    </row>
    <row r="1062" spans="27:33" hidden="1" x14ac:dyDescent="0.25">
      <c r="AA1062" t="s">
        <v>940</v>
      </c>
      <c r="AB1062" s="1" t="s">
        <v>7</v>
      </c>
      <c r="AC1062" s="1" t="s">
        <v>11</v>
      </c>
      <c r="AD1062" s="1" t="s">
        <v>6</v>
      </c>
      <c r="AE1062" s="1" t="s">
        <v>4</v>
      </c>
      <c r="AF1062" s="1" t="s">
        <v>1</v>
      </c>
      <c r="AG1062">
        <f t="shared" si="43"/>
        <v>0</v>
      </c>
    </row>
    <row r="1063" spans="27:33" hidden="1" x14ac:dyDescent="0.25">
      <c r="AA1063" t="s">
        <v>111</v>
      </c>
      <c r="AB1063" s="1" t="s">
        <v>1</v>
      </c>
      <c r="AC1063" s="1" t="s">
        <v>3</v>
      </c>
      <c r="AD1063" s="1" t="s">
        <v>1915</v>
      </c>
      <c r="AE1063" s="1" t="s">
        <v>10</v>
      </c>
      <c r="AF1063" s="1" t="s">
        <v>1915</v>
      </c>
      <c r="AG1063">
        <f t="shared" si="43"/>
        <v>0</v>
      </c>
    </row>
    <row r="1064" spans="27:33" hidden="1" x14ac:dyDescent="0.25">
      <c r="AA1064" t="s">
        <v>1649</v>
      </c>
      <c r="AB1064" s="1" t="s">
        <v>4</v>
      </c>
      <c r="AC1064" s="1" t="s">
        <v>1</v>
      </c>
      <c r="AD1064" s="1" t="s">
        <v>7</v>
      </c>
      <c r="AE1064" s="1" t="s">
        <v>0</v>
      </c>
      <c r="AF1064" s="1" t="s">
        <v>5</v>
      </c>
      <c r="AG1064">
        <f t="shared" si="43"/>
        <v>0</v>
      </c>
    </row>
    <row r="1065" spans="27:33" hidden="1" x14ac:dyDescent="0.25">
      <c r="AA1065" t="s">
        <v>697</v>
      </c>
      <c r="AB1065" s="1" t="s">
        <v>1920</v>
      </c>
      <c r="AC1065" s="1" t="s">
        <v>8</v>
      </c>
      <c r="AD1065" s="1" t="s">
        <v>11</v>
      </c>
      <c r="AE1065" s="1" t="s">
        <v>3</v>
      </c>
      <c r="AF1065" s="1" t="s">
        <v>5</v>
      </c>
      <c r="AG1065">
        <f t="shared" si="43"/>
        <v>0</v>
      </c>
    </row>
    <row r="1066" spans="27:33" hidden="1" x14ac:dyDescent="0.25">
      <c r="AA1066" t="s">
        <v>295</v>
      </c>
      <c r="AB1066" s="1" t="s">
        <v>0</v>
      </c>
      <c r="AC1066" s="1" t="s">
        <v>1</v>
      </c>
      <c r="AD1066" s="1" t="s">
        <v>7</v>
      </c>
      <c r="AE1066" s="1" t="s">
        <v>1</v>
      </c>
      <c r="AF1066" s="1" t="s">
        <v>3</v>
      </c>
      <c r="AG1066">
        <f t="shared" si="43"/>
        <v>0</v>
      </c>
    </row>
    <row r="1067" spans="27:33" hidden="1" x14ac:dyDescent="0.25">
      <c r="AA1067" t="s">
        <v>2294</v>
      </c>
      <c r="AB1067" s="1" t="s">
        <v>4</v>
      </c>
      <c r="AC1067" s="1" t="s">
        <v>11</v>
      </c>
      <c r="AD1067" s="1" t="s">
        <v>2</v>
      </c>
      <c r="AE1067" s="1" t="s">
        <v>5</v>
      </c>
      <c r="AF1067" s="1" t="s">
        <v>6</v>
      </c>
      <c r="AG1067">
        <f t="shared" si="43"/>
        <v>0</v>
      </c>
    </row>
    <row r="1068" spans="27:33" hidden="1" x14ac:dyDescent="0.25">
      <c r="AA1068" t="s">
        <v>122</v>
      </c>
      <c r="AB1068" s="1" t="s">
        <v>1</v>
      </c>
      <c r="AC1068" s="1" t="s">
        <v>3</v>
      </c>
      <c r="AD1068" s="1" t="s">
        <v>3</v>
      </c>
      <c r="AE1068" s="1" t="s">
        <v>5</v>
      </c>
      <c r="AF1068" s="1" t="s">
        <v>12</v>
      </c>
      <c r="AG1068">
        <f t="shared" si="43"/>
        <v>0</v>
      </c>
    </row>
    <row r="1069" spans="27:33" hidden="1" x14ac:dyDescent="0.25">
      <c r="AA1069" t="s">
        <v>293</v>
      </c>
      <c r="AB1069" s="1" t="s">
        <v>0</v>
      </c>
      <c r="AC1069" s="1" t="s">
        <v>1</v>
      </c>
      <c r="AD1069" s="1" t="s">
        <v>1921</v>
      </c>
      <c r="AE1069" s="1" t="s">
        <v>1</v>
      </c>
      <c r="AF1069" s="1" t="s">
        <v>3</v>
      </c>
      <c r="AG1069">
        <f t="shared" si="43"/>
        <v>0</v>
      </c>
    </row>
    <row r="1070" spans="27:33" hidden="1" x14ac:dyDescent="0.25">
      <c r="AA1070" t="s">
        <v>1523</v>
      </c>
      <c r="AB1070" s="1" t="s">
        <v>3</v>
      </c>
      <c r="AC1070" s="1" t="s">
        <v>8</v>
      </c>
      <c r="AD1070" s="1" t="s">
        <v>13</v>
      </c>
      <c r="AE1070" s="1" t="s">
        <v>1914</v>
      </c>
      <c r="AF1070" s="1" t="s">
        <v>5</v>
      </c>
      <c r="AG1070">
        <f t="shared" si="43"/>
        <v>0</v>
      </c>
    </row>
    <row r="1071" spans="27:33" hidden="1" x14ac:dyDescent="0.25">
      <c r="AA1071" t="s">
        <v>2090</v>
      </c>
      <c r="AB1071" s="1" t="s">
        <v>1</v>
      </c>
      <c r="AC1071" s="1" t="s">
        <v>1914</v>
      </c>
      <c r="AD1071" s="1" t="s">
        <v>11</v>
      </c>
      <c r="AE1071" s="1" t="s">
        <v>0</v>
      </c>
      <c r="AF1071" s="1" t="s">
        <v>11</v>
      </c>
      <c r="AG1071">
        <f t="shared" si="43"/>
        <v>0</v>
      </c>
    </row>
    <row r="1072" spans="27:33" hidden="1" x14ac:dyDescent="0.25">
      <c r="AA1072" t="s">
        <v>790</v>
      </c>
      <c r="AB1072" s="1" t="s">
        <v>1921</v>
      </c>
      <c r="AC1072" s="1" t="s">
        <v>8</v>
      </c>
      <c r="AD1072" s="1" t="s">
        <v>10</v>
      </c>
      <c r="AE1072" s="1" t="s">
        <v>3</v>
      </c>
      <c r="AF1072" s="1" t="s">
        <v>10</v>
      </c>
      <c r="AG1072">
        <f t="shared" si="43"/>
        <v>0</v>
      </c>
    </row>
    <row r="1073" spans="27:33" hidden="1" x14ac:dyDescent="0.25">
      <c r="AA1073" t="s">
        <v>1682</v>
      </c>
      <c r="AB1073" s="1" t="s">
        <v>4</v>
      </c>
      <c r="AC1073" s="1" t="s">
        <v>11</v>
      </c>
      <c r="AD1073" s="1" t="s">
        <v>15</v>
      </c>
      <c r="AE1073" s="1" t="s">
        <v>11</v>
      </c>
      <c r="AF1073" s="1" t="s">
        <v>3</v>
      </c>
      <c r="AG1073">
        <f t="shared" si="43"/>
        <v>0</v>
      </c>
    </row>
    <row r="1074" spans="27:33" hidden="1" x14ac:dyDescent="0.25">
      <c r="AA1074" t="s">
        <v>1808</v>
      </c>
      <c r="AB1074" s="1" t="s">
        <v>1919</v>
      </c>
      <c r="AC1074" s="1" t="s">
        <v>1</v>
      </c>
      <c r="AD1074" s="1" t="s">
        <v>10</v>
      </c>
      <c r="AE1074" s="1" t="s">
        <v>6</v>
      </c>
      <c r="AF1074" s="1" t="s">
        <v>1</v>
      </c>
      <c r="AG1074">
        <f t="shared" si="43"/>
        <v>0</v>
      </c>
    </row>
    <row r="1075" spans="27:33" hidden="1" x14ac:dyDescent="0.25">
      <c r="AA1075" t="s">
        <v>1291</v>
      </c>
      <c r="AB1075" s="1" t="s">
        <v>9</v>
      </c>
      <c r="AC1075" s="1" t="s">
        <v>11</v>
      </c>
      <c r="AD1075" s="1" t="s">
        <v>1</v>
      </c>
      <c r="AE1075" s="1" t="s">
        <v>15</v>
      </c>
      <c r="AF1075" s="1" t="s">
        <v>11</v>
      </c>
      <c r="AG1075">
        <f t="shared" si="43"/>
        <v>0</v>
      </c>
    </row>
    <row r="1076" spans="27:33" hidden="1" x14ac:dyDescent="0.25">
      <c r="AA1076" t="s">
        <v>1628</v>
      </c>
      <c r="AB1076" s="1" t="s">
        <v>2</v>
      </c>
      <c r="AC1076" s="1" t="s">
        <v>8</v>
      </c>
      <c r="AD1076" s="1" t="s">
        <v>0</v>
      </c>
      <c r="AE1076" s="1" t="s">
        <v>10</v>
      </c>
      <c r="AF1076" s="1" t="s">
        <v>1</v>
      </c>
      <c r="AG1076">
        <f t="shared" si="43"/>
        <v>0</v>
      </c>
    </row>
    <row r="1077" spans="27:33" hidden="1" x14ac:dyDescent="0.25">
      <c r="AA1077" t="s">
        <v>104</v>
      </c>
      <c r="AB1077" s="1" t="s">
        <v>1</v>
      </c>
      <c r="AC1077" s="1" t="s">
        <v>9</v>
      </c>
      <c r="AD1077" s="1" t="s">
        <v>5</v>
      </c>
      <c r="AE1077" s="1" t="s">
        <v>7</v>
      </c>
      <c r="AF1077" s="1" t="s">
        <v>5</v>
      </c>
      <c r="AG1077">
        <f t="shared" si="43"/>
        <v>0</v>
      </c>
    </row>
    <row r="1078" spans="27:33" hidden="1" x14ac:dyDescent="0.25">
      <c r="AA1078" t="s">
        <v>625</v>
      </c>
      <c r="AB1078" s="1" t="s">
        <v>1920</v>
      </c>
      <c r="AC1078" s="1" t="s">
        <v>1</v>
      </c>
      <c r="AD1078" s="1" t="s">
        <v>8</v>
      </c>
      <c r="AE1078" s="1" t="s">
        <v>6</v>
      </c>
      <c r="AF1078" s="1" t="s">
        <v>5</v>
      </c>
      <c r="AG1078">
        <f t="shared" si="43"/>
        <v>0</v>
      </c>
    </row>
    <row r="1079" spans="27:33" hidden="1" x14ac:dyDescent="0.25">
      <c r="AA1079" t="s">
        <v>2054</v>
      </c>
      <c r="AB1079" s="1" t="s">
        <v>1</v>
      </c>
      <c r="AC1079" s="1" t="s">
        <v>6</v>
      </c>
      <c r="AD1079" s="1" t="s">
        <v>1915</v>
      </c>
      <c r="AE1079" s="1" t="s">
        <v>11</v>
      </c>
      <c r="AF1079" s="1" t="s">
        <v>6</v>
      </c>
      <c r="AG1079">
        <f t="shared" si="43"/>
        <v>0</v>
      </c>
    </row>
    <row r="1080" spans="27:33" hidden="1" x14ac:dyDescent="0.25">
      <c r="AA1080" t="s">
        <v>2050</v>
      </c>
      <c r="AB1080" s="1" t="s">
        <v>0</v>
      </c>
      <c r="AC1080" s="1" t="s">
        <v>5</v>
      </c>
      <c r="AD1080" s="1" t="s">
        <v>3</v>
      </c>
      <c r="AE1080" s="1" t="s">
        <v>2</v>
      </c>
      <c r="AF1080" s="1" t="s">
        <v>11</v>
      </c>
      <c r="AG1080">
        <f t="shared" si="43"/>
        <v>0</v>
      </c>
    </row>
    <row r="1081" spans="27:33" hidden="1" x14ac:dyDescent="0.25">
      <c r="AA1081" t="s">
        <v>91</v>
      </c>
      <c r="AB1081" s="1" t="s">
        <v>1</v>
      </c>
      <c r="AC1081" s="1" t="s">
        <v>6</v>
      </c>
      <c r="AD1081" s="1" t="s">
        <v>10</v>
      </c>
      <c r="AE1081" s="1" t="s">
        <v>13</v>
      </c>
      <c r="AF1081" s="1" t="s">
        <v>11</v>
      </c>
      <c r="AG1081">
        <f t="shared" si="43"/>
        <v>0</v>
      </c>
    </row>
    <row r="1082" spans="27:33" hidden="1" x14ac:dyDescent="0.25">
      <c r="AA1082" t="s">
        <v>442</v>
      </c>
      <c r="AB1082" s="1" t="s">
        <v>0</v>
      </c>
      <c r="AC1082" s="1" t="s">
        <v>5</v>
      </c>
      <c r="AD1082" s="1" t="s">
        <v>7</v>
      </c>
      <c r="AE1082" s="1" t="s">
        <v>12</v>
      </c>
      <c r="AF1082" s="1" t="s">
        <v>1</v>
      </c>
      <c r="AG1082">
        <f t="shared" si="43"/>
        <v>0</v>
      </c>
    </row>
    <row r="1083" spans="27:33" hidden="1" x14ac:dyDescent="0.25">
      <c r="AA1083" t="s">
        <v>1222</v>
      </c>
      <c r="AB1083" s="1" t="s">
        <v>5</v>
      </c>
      <c r="AC1083" s="1" t="s">
        <v>9</v>
      </c>
      <c r="AD1083" s="1" t="s">
        <v>1</v>
      </c>
      <c r="AE1083" s="1" t="s">
        <v>0</v>
      </c>
      <c r="AF1083" s="1" t="s">
        <v>1</v>
      </c>
      <c r="AG1083">
        <f t="shared" si="43"/>
        <v>0</v>
      </c>
    </row>
    <row r="1084" spans="27:33" hidden="1" x14ac:dyDescent="0.25">
      <c r="AA1084" t="s">
        <v>2084</v>
      </c>
      <c r="AB1084" s="1" t="s">
        <v>1921</v>
      </c>
      <c r="AC1084" s="1" t="s">
        <v>7</v>
      </c>
      <c r="AD1084" s="1" t="s">
        <v>1</v>
      </c>
      <c r="AE1084" s="1" t="s">
        <v>2</v>
      </c>
      <c r="AF1084" s="1" t="s">
        <v>11</v>
      </c>
      <c r="AG1084">
        <f t="shared" si="43"/>
        <v>0</v>
      </c>
    </row>
    <row r="1085" spans="27:33" hidden="1" x14ac:dyDescent="0.25">
      <c r="AA1085" t="s">
        <v>1136</v>
      </c>
      <c r="AB1085" s="1" t="s">
        <v>13</v>
      </c>
      <c r="AC1085" s="1" t="s">
        <v>8</v>
      </c>
      <c r="AD1085" s="1" t="s">
        <v>4</v>
      </c>
      <c r="AE1085" s="1" t="s">
        <v>10</v>
      </c>
      <c r="AF1085" s="1" t="s">
        <v>2</v>
      </c>
      <c r="AG1085">
        <f t="shared" si="43"/>
        <v>0</v>
      </c>
    </row>
    <row r="1086" spans="27:33" hidden="1" x14ac:dyDescent="0.25">
      <c r="AA1086" t="s">
        <v>2003</v>
      </c>
      <c r="AB1086" s="1" t="s">
        <v>1</v>
      </c>
      <c r="AC1086" s="1" t="s">
        <v>0</v>
      </c>
      <c r="AD1086" s="1" t="s">
        <v>10</v>
      </c>
      <c r="AE1086" s="1" t="s">
        <v>13</v>
      </c>
      <c r="AF1086" s="1" t="s">
        <v>5</v>
      </c>
      <c r="AG1086">
        <f t="shared" si="43"/>
        <v>0</v>
      </c>
    </row>
    <row r="1087" spans="27:33" hidden="1" x14ac:dyDescent="0.25">
      <c r="AA1087" t="s">
        <v>66</v>
      </c>
      <c r="AB1087" s="1" t="s">
        <v>1</v>
      </c>
      <c r="AC1087" s="1" t="s">
        <v>7</v>
      </c>
      <c r="AD1087" s="1" t="s">
        <v>12</v>
      </c>
      <c r="AE1087" s="1" t="s">
        <v>1</v>
      </c>
      <c r="AF1087" s="1" t="s">
        <v>3</v>
      </c>
      <c r="AG1087">
        <f t="shared" si="43"/>
        <v>0</v>
      </c>
    </row>
    <row r="1088" spans="27:33" hidden="1" x14ac:dyDescent="0.25">
      <c r="AA1088" t="s">
        <v>408</v>
      </c>
      <c r="AB1088" s="1" t="s">
        <v>0</v>
      </c>
      <c r="AC1088" s="1" t="s">
        <v>10</v>
      </c>
      <c r="AD1088" s="1" t="s">
        <v>1920</v>
      </c>
      <c r="AE1088" s="1" t="s">
        <v>3</v>
      </c>
      <c r="AF1088" s="1" t="s">
        <v>1</v>
      </c>
      <c r="AG1088">
        <f t="shared" si="43"/>
        <v>0</v>
      </c>
    </row>
    <row r="1089" spans="27:33" hidden="1" x14ac:dyDescent="0.25">
      <c r="AA1089" t="s">
        <v>788</v>
      </c>
      <c r="AB1089" s="1" t="s">
        <v>1921</v>
      </c>
      <c r="AC1089" s="1" t="s">
        <v>8</v>
      </c>
      <c r="AD1089" s="1" t="s">
        <v>10</v>
      </c>
      <c r="AE1089" s="1" t="s">
        <v>1916</v>
      </c>
      <c r="AF1089" s="1" t="s">
        <v>5</v>
      </c>
      <c r="AG1089">
        <f t="shared" si="43"/>
        <v>0</v>
      </c>
    </row>
    <row r="1090" spans="27:33" hidden="1" x14ac:dyDescent="0.25">
      <c r="AA1090" t="s">
        <v>1991</v>
      </c>
      <c r="AB1090" s="1" t="s">
        <v>1</v>
      </c>
      <c r="AC1090" s="1" t="s">
        <v>13</v>
      </c>
      <c r="AD1090" s="1" t="s">
        <v>1914</v>
      </c>
      <c r="AE1090" s="1" t="s">
        <v>1</v>
      </c>
      <c r="AF1090" s="1" t="s">
        <v>3</v>
      </c>
      <c r="AG1090">
        <f t="shared" si="43"/>
        <v>0</v>
      </c>
    </row>
    <row r="1091" spans="27:33" hidden="1" x14ac:dyDescent="0.25">
      <c r="AA1091" t="s">
        <v>261</v>
      </c>
      <c r="AB1091" s="1" t="s">
        <v>1914</v>
      </c>
      <c r="AC1091" s="1" t="s">
        <v>3</v>
      </c>
      <c r="AD1091" s="1" t="s">
        <v>8</v>
      </c>
      <c r="AE1091" s="1" t="s">
        <v>4</v>
      </c>
      <c r="AF1091" s="1" t="s">
        <v>1</v>
      </c>
      <c r="AG1091">
        <f t="shared" ref="AG1091:AG1154" si="44">IF(AND(Z1091&gt;0,Z1091&lt;7),AG1090+1,0)</f>
        <v>0</v>
      </c>
    </row>
    <row r="1092" spans="27:33" hidden="1" x14ac:dyDescent="0.25">
      <c r="AA1092" t="s">
        <v>1448</v>
      </c>
      <c r="AB1092" s="1" t="s">
        <v>3</v>
      </c>
      <c r="AC1092" s="1" t="s">
        <v>1</v>
      </c>
      <c r="AD1092" s="1" t="s">
        <v>1918</v>
      </c>
      <c r="AE1092" s="1" t="s">
        <v>1</v>
      </c>
      <c r="AF1092" s="1" t="s">
        <v>3</v>
      </c>
      <c r="AG1092">
        <f t="shared" si="44"/>
        <v>0</v>
      </c>
    </row>
    <row r="1093" spans="27:33" hidden="1" x14ac:dyDescent="0.25">
      <c r="AA1093" t="s">
        <v>1821</v>
      </c>
      <c r="AB1093" s="1" t="s">
        <v>1919</v>
      </c>
      <c r="AC1093" s="1" t="s">
        <v>1</v>
      </c>
      <c r="AD1093" s="1" t="s">
        <v>4</v>
      </c>
      <c r="AE1093" s="1" t="s">
        <v>10</v>
      </c>
      <c r="AF1093" s="1" t="s">
        <v>5</v>
      </c>
      <c r="AG1093">
        <f t="shared" si="44"/>
        <v>0</v>
      </c>
    </row>
    <row r="1094" spans="27:33" hidden="1" x14ac:dyDescent="0.25">
      <c r="AA1094" t="s">
        <v>700</v>
      </c>
      <c r="AB1094" s="1" t="s">
        <v>1920</v>
      </c>
      <c r="AC1094" s="1" t="s">
        <v>8</v>
      </c>
      <c r="AD1094" s="1" t="s">
        <v>13</v>
      </c>
      <c r="AE1094" s="1" t="s">
        <v>1</v>
      </c>
      <c r="AF1094" s="1" t="s">
        <v>3</v>
      </c>
      <c r="AG1094">
        <f t="shared" si="44"/>
        <v>0</v>
      </c>
    </row>
    <row r="1095" spans="27:33" hidden="1" x14ac:dyDescent="0.25">
      <c r="AA1095" t="s">
        <v>791</v>
      </c>
      <c r="AB1095" s="1" t="s">
        <v>1921</v>
      </c>
      <c r="AC1095" s="1" t="s">
        <v>8</v>
      </c>
      <c r="AD1095" s="1" t="s">
        <v>10</v>
      </c>
      <c r="AE1095" s="1" t="s">
        <v>2</v>
      </c>
      <c r="AF1095" s="1" t="s">
        <v>1</v>
      </c>
      <c r="AG1095">
        <f t="shared" si="44"/>
        <v>0</v>
      </c>
    </row>
    <row r="1096" spans="27:33" hidden="1" x14ac:dyDescent="0.25">
      <c r="AA1096" t="s">
        <v>77</v>
      </c>
      <c r="AB1096" s="1" t="s">
        <v>1</v>
      </c>
      <c r="AC1096" s="1" t="s">
        <v>13</v>
      </c>
      <c r="AD1096" s="1" t="s">
        <v>10</v>
      </c>
      <c r="AE1096" s="1" t="s">
        <v>1921</v>
      </c>
      <c r="AF1096" s="1" t="s">
        <v>1</v>
      </c>
      <c r="AG1096">
        <f t="shared" si="44"/>
        <v>0</v>
      </c>
    </row>
    <row r="1097" spans="27:33" hidden="1" x14ac:dyDescent="0.25">
      <c r="AA1097" t="s">
        <v>890</v>
      </c>
      <c r="AB1097" s="1" t="s">
        <v>15</v>
      </c>
      <c r="AC1097" s="1" t="s">
        <v>11</v>
      </c>
      <c r="AD1097" s="1" t="s">
        <v>3</v>
      </c>
      <c r="AE1097" s="1" t="s">
        <v>1921</v>
      </c>
      <c r="AF1097" s="1" t="s">
        <v>1</v>
      </c>
      <c r="AG1097">
        <f t="shared" si="44"/>
        <v>0</v>
      </c>
    </row>
    <row r="1098" spans="27:33" hidden="1" x14ac:dyDescent="0.25">
      <c r="AA1098" t="s">
        <v>281</v>
      </c>
      <c r="AB1098" s="1" t="s">
        <v>1914</v>
      </c>
      <c r="AC1098" s="1" t="s">
        <v>8</v>
      </c>
      <c r="AD1098" s="1" t="s">
        <v>3</v>
      </c>
      <c r="AE1098" s="1" t="s">
        <v>3</v>
      </c>
      <c r="AF1098" s="1" t="s">
        <v>5</v>
      </c>
      <c r="AG1098">
        <f t="shared" si="44"/>
        <v>0</v>
      </c>
    </row>
    <row r="1099" spans="27:33" hidden="1" x14ac:dyDescent="0.25">
      <c r="AA1099" t="s">
        <v>1859</v>
      </c>
      <c r="AB1099" s="1" t="s">
        <v>1919</v>
      </c>
      <c r="AC1099" s="1" t="s">
        <v>10</v>
      </c>
      <c r="AD1099" s="1" t="s">
        <v>2</v>
      </c>
      <c r="AE1099" s="1" t="s">
        <v>4</v>
      </c>
      <c r="AF1099" s="1" t="s">
        <v>1</v>
      </c>
      <c r="AG1099">
        <f t="shared" si="44"/>
        <v>0</v>
      </c>
    </row>
    <row r="1100" spans="27:33" hidden="1" x14ac:dyDescent="0.25">
      <c r="AA1100" t="s">
        <v>785</v>
      </c>
      <c r="AB1100" s="1" t="s">
        <v>1921</v>
      </c>
      <c r="AC1100" s="1" t="s">
        <v>8</v>
      </c>
      <c r="AD1100" s="1" t="s">
        <v>1</v>
      </c>
      <c r="AE1100" s="1" t="s">
        <v>4</v>
      </c>
      <c r="AF1100" s="1" t="s">
        <v>1</v>
      </c>
      <c r="AG1100">
        <f t="shared" si="44"/>
        <v>0</v>
      </c>
    </row>
    <row r="1101" spans="27:33" hidden="1" x14ac:dyDescent="0.25">
      <c r="AA1101" t="s">
        <v>2286</v>
      </c>
      <c r="AB1101" s="1" t="s">
        <v>5</v>
      </c>
      <c r="AC1101" s="1" t="s">
        <v>1919</v>
      </c>
      <c r="AD1101" s="1" t="s">
        <v>1</v>
      </c>
      <c r="AE1101" s="1" t="s">
        <v>7</v>
      </c>
      <c r="AF1101" s="1" t="s">
        <v>5</v>
      </c>
      <c r="AG1101">
        <f t="shared" si="44"/>
        <v>0</v>
      </c>
    </row>
    <row r="1102" spans="27:33" hidden="1" x14ac:dyDescent="0.25">
      <c r="AA1102" t="s">
        <v>2263</v>
      </c>
      <c r="AB1102" s="1" t="s">
        <v>9</v>
      </c>
      <c r="AC1102" s="1" t="s">
        <v>10</v>
      </c>
      <c r="AD1102" s="1" t="s">
        <v>7</v>
      </c>
      <c r="AE1102" s="1" t="s">
        <v>5</v>
      </c>
      <c r="AF1102" s="1" t="s">
        <v>6</v>
      </c>
      <c r="AG1102">
        <f t="shared" si="44"/>
        <v>0</v>
      </c>
    </row>
    <row r="1103" spans="27:33" hidden="1" x14ac:dyDescent="0.25">
      <c r="AA1103" t="s">
        <v>771</v>
      </c>
      <c r="AB1103" s="1" t="s">
        <v>1921</v>
      </c>
      <c r="AC1103" s="1" t="s">
        <v>3</v>
      </c>
      <c r="AD1103" s="1" t="s">
        <v>10</v>
      </c>
      <c r="AE1103" s="1" t="s">
        <v>1920</v>
      </c>
      <c r="AF1103" s="1" t="s">
        <v>5</v>
      </c>
      <c r="AG1103">
        <f t="shared" si="44"/>
        <v>0</v>
      </c>
    </row>
    <row r="1104" spans="27:33" hidden="1" x14ac:dyDescent="0.25">
      <c r="AA1104" t="s">
        <v>572</v>
      </c>
      <c r="AB1104" s="1" t="s">
        <v>1915</v>
      </c>
      <c r="AC1104" s="1" t="s">
        <v>8</v>
      </c>
      <c r="AD1104" s="1" t="s">
        <v>3</v>
      </c>
      <c r="AE1104" s="1" t="s">
        <v>1</v>
      </c>
      <c r="AF1104" s="1" t="s">
        <v>3</v>
      </c>
      <c r="AG1104">
        <f t="shared" si="44"/>
        <v>0</v>
      </c>
    </row>
    <row r="1105" spans="27:33" hidden="1" x14ac:dyDescent="0.25">
      <c r="AA1105" t="s">
        <v>126</v>
      </c>
      <c r="AB1105" s="1" t="s">
        <v>1</v>
      </c>
      <c r="AC1105" s="1" t="s">
        <v>2</v>
      </c>
      <c r="AD1105" s="1" t="s">
        <v>11</v>
      </c>
      <c r="AE1105" s="1" t="s">
        <v>1</v>
      </c>
      <c r="AF1105" s="1" t="s">
        <v>3</v>
      </c>
      <c r="AG1105">
        <f t="shared" si="44"/>
        <v>0</v>
      </c>
    </row>
    <row r="1106" spans="27:33" hidden="1" x14ac:dyDescent="0.25">
      <c r="AA1106" t="s">
        <v>56</v>
      </c>
      <c r="AB1106" s="1" t="s">
        <v>1</v>
      </c>
      <c r="AC1106" s="1" t="s">
        <v>7</v>
      </c>
      <c r="AD1106" s="1" t="s">
        <v>1915</v>
      </c>
      <c r="AE1106" s="1" t="s">
        <v>11</v>
      </c>
      <c r="AF1106" s="1" t="s">
        <v>1</v>
      </c>
      <c r="AG1106">
        <f t="shared" si="44"/>
        <v>0</v>
      </c>
    </row>
    <row r="1107" spans="27:33" hidden="1" x14ac:dyDescent="0.25">
      <c r="AA1107" t="s">
        <v>1121</v>
      </c>
      <c r="AB1107" s="1" t="s">
        <v>13</v>
      </c>
      <c r="AC1107" s="1" t="s">
        <v>8</v>
      </c>
      <c r="AD1107" s="1" t="s">
        <v>1915</v>
      </c>
      <c r="AE1107" s="1" t="s">
        <v>1</v>
      </c>
      <c r="AF1107" s="1" t="s">
        <v>3</v>
      </c>
      <c r="AG1107">
        <f t="shared" si="44"/>
        <v>0</v>
      </c>
    </row>
    <row r="1108" spans="27:33" hidden="1" x14ac:dyDescent="0.25">
      <c r="AA1108" t="s">
        <v>999</v>
      </c>
      <c r="AB1108" s="1" t="s">
        <v>13</v>
      </c>
      <c r="AC1108" s="1" t="s">
        <v>1</v>
      </c>
      <c r="AD1108" s="1" t="s">
        <v>0</v>
      </c>
      <c r="AE1108" s="1" t="s">
        <v>1917</v>
      </c>
      <c r="AF1108" s="1" t="s">
        <v>1</v>
      </c>
      <c r="AG1108">
        <f t="shared" si="44"/>
        <v>0</v>
      </c>
    </row>
    <row r="1109" spans="27:33" hidden="1" x14ac:dyDescent="0.25">
      <c r="AA1109" t="s">
        <v>285</v>
      </c>
      <c r="AB1109" s="1" t="s">
        <v>0</v>
      </c>
      <c r="AC1109" s="1" t="s">
        <v>1</v>
      </c>
      <c r="AD1109" s="1" t="s">
        <v>1914</v>
      </c>
      <c r="AE1109" s="1" t="s">
        <v>1</v>
      </c>
      <c r="AF1109" s="1" t="s">
        <v>7</v>
      </c>
      <c r="AG1109">
        <f t="shared" si="44"/>
        <v>0</v>
      </c>
    </row>
    <row r="1110" spans="27:33" hidden="1" x14ac:dyDescent="0.25">
      <c r="AA1110" t="s">
        <v>1521</v>
      </c>
      <c r="AB1110" s="1" t="s">
        <v>3</v>
      </c>
      <c r="AC1110" s="1" t="s">
        <v>8</v>
      </c>
      <c r="AD1110" s="1" t="s">
        <v>7</v>
      </c>
      <c r="AE1110" s="1" t="s">
        <v>1</v>
      </c>
      <c r="AF1110" s="1" t="s">
        <v>3</v>
      </c>
      <c r="AG1110">
        <f t="shared" si="44"/>
        <v>0</v>
      </c>
    </row>
    <row r="1111" spans="27:33" hidden="1" x14ac:dyDescent="0.25">
      <c r="AA1111" t="s">
        <v>882</v>
      </c>
      <c r="AB1111" s="1" t="s">
        <v>15</v>
      </c>
      <c r="AC1111" s="1" t="s">
        <v>1</v>
      </c>
      <c r="AD1111" s="1" t="s">
        <v>13</v>
      </c>
      <c r="AE1111" s="1" t="s">
        <v>1914</v>
      </c>
      <c r="AF1111" s="1" t="s">
        <v>5</v>
      </c>
      <c r="AG1111">
        <f t="shared" si="44"/>
        <v>0</v>
      </c>
    </row>
    <row r="1112" spans="27:33" hidden="1" x14ac:dyDescent="0.25">
      <c r="AA1112" t="s">
        <v>673</v>
      </c>
      <c r="AB1112" s="1" t="s">
        <v>1920</v>
      </c>
      <c r="AC1112" s="1" t="s">
        <v>5</v>
      </c>
      <c r="AD1112" s="1" t="s">
        <v>1914</v>
      </c>
      <c r="AE1112" s="1" t="s">
        <v>10</v>
      </c>
      <c r="AF1112" s="1" t="s">
        <v>1</v>
      </c>
      <c r="AG1112">
        <f t="shared" si="44"/>
        <v>0</v>
      </c>
    </row>
    <row r="1113" spans="27:33" hidden="1" x14ac:dyDescent="0.25">
      <c r="AA1113" t="s">
        <v>124</v>
      </c>
      <c r="AB1113" s="1" t="s">
        <v>1</v>
      </c>
      <c r="AC1113" s="1" t="s">
        <v>2</v>
      </c>
      <c r="AD1113" s="1" t="s">
        <v>1</v>
      </c>
      <c r="AE1113" s="1" t="s">
        <v>1915</v>
      </c>
      <c r="AF1113" s="1" t="s">
        <v>5</v>
      </c>
      <c r="AG1113">
        <f t="shared" si="44"/>
        <v>0</v>
      </c>
    </row>
    <row r="1114" spans="27:33" hidden="1" x14ac:dyDescent="0.25">
      <c r="AA1114" t="s">
        <v>1535</v>
      </c>
      <c r="AB1114" s="1" t="s">
        <v>2</v>
      </c>
      <c r="AC1114" s="1" t="s">
        <v>1</v>
      </c>
      <c r="AD1114" s="1" t="s">
        <v>1921</v>
      </c>
      <c r="AE1114" s="1" t="s">
        <v>1</v>
      </c>
      <c r="AF1114" s="1" t="s">
        <v>12</v>
      </c>
      <c r="AG1114">
        <f t="shared" si="44"/>
        <v>0</v>
      </c>
    </row>
    <row r="1115" spans="27:33" hidden="1" x14ac:dyDescent="0.25">
      <c r="AA1115" t="s">
        <v>1009</v>
      </c>
      <c r="AB1115" s="1" t="s">
        <v>13</v>
      </c>
      <c r="AC1115" s="1" t="s">
        <v>1</v>
      </c>
      <c r="AD1115" s="1" t="s">
        <v>1921</v>
      </c>
      <c r="AE1115" s="1" t="s">
        <v>6</v>
      </c>
      <c r="AF1115" s="1" t="s">
        <v>5</v>
      </c>
      <c r="AG1115">
        <f t="shared" si="44"/>
        <v>0</v>
      </c>
    </row>
    <row r="1116" spans="27:33" hidden="1" x14ac:dyDescent="0.25">
      <c r="AA1116" t="s">
        <v>1512</v>
      </c>
      <c r="AB1116" s="1" t="s">
        <v>3</v>
      </c>
      <c r="AC1116" s="1" t="s">
        <v>8</v>
      </c>
      <c r="AD1116" s="1" t="s">
        <v>0</v>
      </c>
      <c r="AE1116" s="1" t="s">
        <v>10</v>
      </c>
      <c r="AF1116" s="1" t="s">
        <v>5</v>
      </c>
      <c r="AG1116">
        <f t="shared" si="44"/>
        <v>0</v>
      </c>
    </row>
    <row r="1117" spans="27:33" hidden="1" x14ac:dyDescent="0.25">
      <c r="AA1117" t="s">
        <v>986</v>
      </c>
      <c r="AB1117" s="1" t="s">
        <v>7</v>
      </c>
      <c r="AC1117" s="1" t="s">
        <v>5</v>
      </c>
      <c r="AD1117" s="1" t="s">
        <v>1921</v>
      </c>
      <c r="AE1117" s="1" t="s">
        <v>3</v>
      </c>
      <c r="AF1117" s="1" t="s">
        <v>5</v>
      </c>
      <c r="AG1117">
        <f t="shared" si="44"/>
        <v>0</v>
      </c>
    </row>
    <row r="1118" spans="27:33" hidden="1" x14ac:dyDescent="0.25">
      <c r="AA1118" t="s">
        <v>761</v>
      </c>
      <c r="AB1118" s="1" t="s">
        <v>1921</v>
      </c>
      <c r="AC1118" s="1" t="s">
        <v>3</v>
      </c>
      <c r="AD1118" s="1" t="s">
        <v>1</v>
      </c>
      <c r="AE1118" s="1" t="s">
        <v>2</v>
      </c>
      <c r="AF1118" s="1" t="s">
        <v>5</v>
      </c>
      <c r="AG1118">
        <f t="shared" si="44"/>
        <v>0</v>
      </c>
    </row>
    <row r="1119" spans="27:33" hidden="1" x14ac:dyDescent="0.25">
      <c r="AA1119" t="s">
        <v>168</v>
      </c>
      <c r="AB1119" s="1" t="s">
        <v>1914</v>
      </c>
      <c r="AC1119" s="1" t="s">
        <v>1</v>
      </c>
      <c r="AD1119" s="1" t="s">
        <v>6</v>
      </c>
      <c r="AE1119" s="1" t="s">
        <v>1</v>
      </c>
      <c r="AF1119" s="1" t="s">
        <v>7</v>
      </c>
      <c r="AG1119">
        <f t="shared" si="44"/>
        <v>0</v>
      </c>
    </row>
    <row r="1120" spans="27:33" hidden="1" x14ac:dyDescent="0.25">
      <c r="AA1120" t="s">
        <v>929</v>
      </c>
      <c r="AB1120" s="1" t="s">
        <v>7</v>
      </c>
      <c r="AC1120" s="1" t="s">
        <v>1</v>
      </c>
      <c r="AD1120" s="1" t="s">
        <v>3</v>
      </c>
      <c r="AE1120" s="1" t="s">
        <v>1919</v>
      </c>
      <c r="AF1120" s="1" t="s">
        <v>1</v>
      </c>
      <c r="AG1120">
        <f t="shared" si="44"/>
        <v>0</v>
      </c>
    </row>
    <row r="1121" spans="27:33" hidden="1" x14ac:dyDescent="0.25">
      <c r="AA1121" t="s">
        <v>1132</v>
      </c>
      <c r="AB1121" s="1" t="s">
        <v>13</v>
      </c>
      <c r="AC1121" s="1" t="s">
        <v>8</v>
      </c>
      <c r="AD1121" s="1" t="s">
        <v>2</v>
      </c>
      <c r="AE1121" s="1" t="s">
        <v>11</v>
      </c>
      <c r="AF1121" s="1" t="s">
        <v>5</v>
      </c>
      <c r="AG1121">
        <f t="shared" si="44"/>
        <v>0</v>
      </c>
    </row>
    <row r="1122" spans="27:33" hidden="1" x14ac:dyDescent="0.25">
      <c r="AA1122" t="s">
        <v>2153</v>
      </c>
      <c r="AB1122" s="1" t="s">
        <v>4</v>
      </c>
      <c r="AC1122" s="1" t="s">
        <v>10</v>
      </c>
      <c r="AD1122" s="1" t="s">
        <v>7</v>
      </c>
      <c r="AE1122" s="1" t="s">
        <v>10</v>
      </c>
      <c r="AF1122" s="1" t="s">
        <v>6</v>
      </c>
      <c r="AG1122">
        <f t="shared" si="44"/>
        <v>0</v>
      </c>
    </row>
    <row r="1123" spans="27:33" hidden="1" x14ac:dyDescent="0.25">
      <c r="AA1123" t="s">
        <v>1465</v>
      </c>
      <c r="AB1123" s="1" t="s">
        <v>3</v>
      </c>
      <c r="AC1123" s="1" t="s">
        <v>11</v>
      </c>
      <c r="AD1123" s="1" t="s">
        <v>7</v>
      </c>
      <c r="AE1123" s="1" t="s">
        <v>5</v>
      </c>
      <c r="AF1123" s="1" t="s">
        <v>15</v>
      </c>
      <c r="AG1123">
        <f t="shared" si="44"/>
        <v>0</v>
      </c>
    </row>
    <row r="1124" spans="27:33" hidden="1" x14ac:dyDescent="0.25">
      <c r="AA1124" t="s">
        <v>984</v>
      </c>
      <c r="AB1124" s="1" t="s">
        <v>7</v>
      </c>
      <c r="AC1124" s="1" t="s">
        <v>5</v>
      </c>
      <c r="AD1124" s="1" t="s">
        <v>0</v>
      </c>
      <c r="AE1124" s="1" t="s">
        <v>1</v>
      </c>
      <c r="AF1124" s="1" t="s">
        <v>7</v>
      </c>
      <c r="AG1124">
        <f t="shared" si="44"/>
        <v>0</v>
      </c>
    </row>
    <row r="1125" spans="27:33" hidden="1" x14ac:dyDescent="0.25">
      <c r="AA1125" t="s">
        <v>2062</v>
      </c>
      <c r="AB1125" s="1" t="s">
        <v>11</v>
      </c>
      <c r="AC1125" s="1" t="s">
        <v>7</v>
      </c>
      <c r="AD1125" s="1" t="s">
        <v>10</v>
      </c>
      <c r="AE1125" s="1" t="s">
        <v>4</v>
      </c>
      <c r="AF1125" s="1" t="s">
        <v>11</v>
      </c>
      <c r="AG1125">
        <f t="shared" si="44"/>
        <v>0</v>
      </c>
    </row>
    <row r="1126" spans="27:33" hidden="1" x14ac:dyDescent="0.25">
      <c r="AA1126" t="s">
        <v>416</v>
      </c>
      <c r="AB1126" s="1" t="s">
        <v>0</v>
      </c>
      <c r="AC1126" s="1" t="s">
        <v>10</v>
      </c>
      <c r="AD1126" s="1" t="s">
        <v>2</v>
      </c>
      <c r="AE1126" s="1" t="s">
        <v>6</v>
      </c>
      <c r="AF1126" s="1" t="s">
        <v>11</v>
      </c>
      <c r="AG1126">
        <f t="shared" si="44"/>
        <v>0</v>
      </c>
    </row>
    <row r="1127" spans="27:33" hidden="1" x14ac:dyDescent="0.25">
      <c r="AA1127" t="s">
        <v>399</v>
      </c>
      <c r="AB1127" s="1" t="s">
        <v>0</v>
      </c>
      <c r="AC1127" s="1" t="s">
        <v>1917</v>
      </c>
      <c r="AD1127" s="1" t="s">
        <v>8</v>
      </c>
      <c r="AE1127" s="1" t="s">
        <v>9</v>
      </c>
      <c r="AF1127" s="1" t="s">
        <v>1</v>
      </c>
      <c r="AG1127">
        <f t="shared" si="44"/>
        <v>0</v>
      </c>
    </row>
    <row r="1128" spans="27:33" hidden="1" x14ac:dyDescent="0.25">
      <c r="AA1128" t="s">
        <v>1974</v>
      </c>
      <c r="AB1128" s="1" t="s">
        <v>4</v>
      </c>
      <c r="AC1128" s="1" t="s">
        <v>11</v>
      </c>
      <c r="AD1128" s="1" t="s">
        <v>15</v>
      </c>
      <c r="AE1128" s="1" t="s">
        <v>5</v>
      </c>
      <c r="AF1128" s="1" t="s">
        <v>2</v>
      </c>
      <c r="AG1128">
        <f t="shared" si="44"/>
        <v>0</v>
      </c>
    </row>
    <row r="1129" spans="27:33" hidden="1" x14ac:dyDescent="0.25">
      <c r="AA1129" t="s">
        <v>608</v>
      </c>
      <c r="AB1129" s="1" t="s">
        <v>1920</v>
      </c>
      <c r="AC1129" s="1" t="s">
        <v>1</v>
      </c>
      <c r="AD1129" s="1" t="s">
        <v>7</v>
      </c>
      <c r="AE1129" s="1" t="s">
        <v>1</v>
      </c>
      <c r="AF1129" s="1" t="s">
        <v>12</v>
      </c>
      <c r="AG1129">
        <f t="shared" si="44"/>
        <v>0</v>
      </c>
    </row>
    <row r="1130" spans="27:33" hidden="1" x14ac:dyDescent="0.25">
      <c r="AA1130" t="s">
        <v>1108</v>
      </c>
      <c r="AB1130" s="1" t="s">
        <v>13</v>
      </c>
      <c r="AC1130" s="1" t="s">
        <v>5</v>
      </c>
      <c r="AD1130" s="1" t="s">
        <v>3</v>
      </c>
      <c r="AE1130" s="1" t="s">
        <v>1</v>
      </c>
      <c r="AF1130" s="1" t="s">
        <v>7</v>
      </c>
      <c r="AG1130">
        <f t="shared" si="44"/>
        <v>0</v>
      </c>
    </row>
    <row r="1131" spans="27:33" hidden="1" x14ac:dyDescent="0.25">
      <c r="AA1131" t="s">
        <v>1379</v>
      </c>
      <c r="AB1131" s="1" t="s">
        <v>9</v>
      </c>
      <c r="AC1131" s="1" t="s">
        <v>5</v>
      </c>
      <c r="AD1131" s="1" t="s">
        <v>6</v>
      </c>
      <c r="AE1131" s="1" t="s">
        <v>11</v>
      </c>
      <c r="AF1131" s="1" t="s">
        <v>3</v>
      </c>
      <c r="AG1131">
        <f t="shared" si="44"/>
        <v>0</v>
      </c>
    </row>
    <row r="1132" spans="27:33" hidden="1" x14ac:dyDescent="0.25">
      <c r="AA1132" t="s">
        <v>875</v>
      </c>
      <c r="AB1132" s="1" t="s">
        <v>10</v>
      </c>
      <c r="AC1132" s="1" t="s">
        <v>12</v>
      </c>
      <c r="AD1132" s="1" t="s">
        <v>1</v>
      </c>
      <c r="AE1132" s="1" t="s">
        <v>1915</v>
      </c>
      <c r="AF1132" s="1" t="s">
        <v>5</v>
      </c>
      <c r="AG1132">
        <f t="shared" si="44"/>
        <v>0</v>
      </c>
    </row>
    <row r="1133" spans="27:33" hidden="1" x14ac:dyDescent="0.25">
      <c r="AA1133" t="s">
        <v>2185</v>
      </c>
      <c r="AB1133" s="1" t="s">
        <v>0</v>
      </c>
      <c r="AC1133" s="1" t="s">
        <v>1</v>
      </c>
      <c r="AD1133" s="1" t="s">
        <v>1921</v>
      </c>
      <c r="AE1133" s="1" t="s">
        <v>5</v>
      </c>
      <c r="AF1133" s="1" t="s">
        <v>6</v>
      </c>
      <c r="AG1133">
        <f t="shared" si="44"/>
        <v>0</v>
      </c>
    </row>
    <row r="1134" spans="27:33" hidden="1" x14ac:dyDescent="0.25">
      <c r="AA1134" t="s">
        <v>1419</v>
      </c>
      <c r="AB1134" s="1" t="s">
        <v>1923</v>
      </c>
      <c r="AC1134" s="1" t="s">
        <v>8</v>
      </c>
      <c r="AD1134" s="1" t="s">
        <v>11</v>
      </c>
      <c r="AE1134" s="1" t="s">
        <v>15</v>
      </c>
      <c r="AF1134" s="1" t="s">
        <v>1</v>
      </c>
      <c r="AG1134">
        <f t="shared" si="44"/>
        <v>0</v>
      </c>
    </row>
    <row r="1135" spans="27:33" hidden="1" x14ac:dyDescent="0.25">
      <c r="AA1135" t="s">
        <v>448</v>
      </c>
      <c r="AB1135" s="1" t="s">
        <v>0</v>
      </c>
      <c r="AC1135" s="1" t="s">
        <v>5</v>
      </c>
      <c r="AD1135" s="1" t="s">
        <v>1916</v>
      </c>
      <c r="AE1135" s="1" t="s">
        <v>1</v>
      </c>
      <c r="AF1135" s="1" t="s">
        <v>0</v>
      </c>
      <c r="AG1135">
        <f t="shared" si="44"/>
        <v>0</v>
      </c>
    </row>
    <row r="1136" spans="27:33" hidden="1" x14ac:dyDescent="0.25">
      <c r="AA1136" t="s">
        <v>1791</v>
      </c>
      <c r="AB1136" s="1" t="s">
        <v>8</v>
      </c>
      <c r="AC1136" s="1" t="s">
        <v>1920</v>
      </c>
      <c r="AD1136" s="1" t="s">
        <v>1</v>
      </c>
      <c r="AE1136" s="1" t="s">
        <v>6</v>
      </c>
      <c r="AF1136" s="1" t="s">
        <v>1</v>
      </c>
      <c r="AG1136">
        <f t="shared" si="44"/>
        <v>0</v>
      </c>
    </row>
    <row r="1137" spans="27:33" hidden="1" x14ac:dyDescent="0.25">
      <c r="AA1137" t="s">
        <v>1488</v>
      </c>
      <c r="AB1137" s="1" t="s">
        <v>3</v>
      </c>
      <c r="AC1137" s="1" t="s">
        <v>10</v>
      </c>
      <c r="AD1137" s="1" t="s">
        <v>12</v>
      </c>
      <c r="AE1137" s="1" t="s">
        <v>1</v>
      </c>
      <c r="AF1137" s="1" t="s">
        <v>3</v>
      </c>
      <c r="AG1137">
        <f t="shared" si="44"/>
        <v>0</v>
      </c>
    </row>
    <row r="1138" spans="27:33" hidden="1" x14ac:dyDescent="0.25">
      <c r="AA1138" t="s">
        <v>217</v>
      </c>
      <c r="AB1138" s="1" t="s">
        <v>1914</v>
      </c>
      <c r="AC1138" s="1" t="s">
        <v>7</v>
      </c>
      <c r="AD1138" s="1" t="s">
        <v>8</v>
      </c>
      <c r="AE1138" s="1" t="s">
        <v>11</v>
      </c>
      <c r="AF1138" s="1" t="s">
        <v>2</v>
      </c>
      <c r="AG1138">
        <f t="shared" si="44"/>
        <v>0</v>
      </c>
    </row>
    <row r="1139" spans="27:33" hidden="1" x14ac:dyDescent="0.25">
      <c r="AA1139" t="s">
        <v>100</v>
      </c>
      <c r="AB1139" s="1" t="s">
        <v>1</v>
      </c>
      <c r="AC1139" s="1" t="s">
        <v>9</v>
      </c>
      <c r="AD1139" s="1" t="s">
        <v>11</v>
      </c>
      <c r="AE1139" s="1" t="s">
        <v>1921</v>
      </c>
      <c r="AF1139" s="1" t="s">
        <v>5</v>
      </c>
      <c r="AG1139">
        <f t="shared" si="44"/>
        <v>0</v>
      </c>
    </row>
    <row r="1140" spans="27:33" hidden="1" x14ac:dyDescent="0.25">
      <c r="AA1140" t="s">
        <v>1384</v>
      </c>
      <c r="AB1140" s="1" t="s">
        <v>9</v>
      </c>
      <c r="AC1140" s="1" t="s">
        <v>5</v>
      </c>
      <c r="AD1140" s="1" t="s">
        <v>2</v>
      </c>
      <c r="AE1140" s="1" t="s">
        <v>4</v>
      </c>
      <c r="AF1140" s="1" t="s">
        <v>1</v>
      </c>
      <c r="AG1140">
        <f t="shared" si="44"/>
        <v>0</v>
      </c>
    </row>
    <row r="1141" spans="27:33" hidden="1" x14ac:dyDescent="0.25">
      <c r="AA1141" t="s">
        <v>773</v>
      </c>
      <c r="AB1141" s="1" t="s">
        <v>1921</v>
      </c>
      <c r="AC1141" s="1" t="s">
        <v>3</v>
      </c>
      <c r="AD1141" s="1" t="s">
        <v>10</v>
      </c>
      <c r="AE1141" s="1" t="s">
        <v>13</v>
      </c>
      <c r="AF1141" s="1" t="s">
        <v>1</v>
      </c>
      <c r="AG1141">
        <f t="shared" si="44"/>
        <v>0</v>
      </c>
    </row>
    <row r="1142" spans="27:33" hidden="1" x14ac:dyDescent="0.25">
      <c r="AA1142" t="s">
        <v>1951</v>
      </c>
      <c r="AB1142" s="1" t="s">
        <v>1914</v>
      </c>
      <c r="AC1142" s="1" t="s">
        <v>5</v>
      </c>
      <c r="AD1142" s="1" t="s">
        <v>7</v>
      </c>
      <c r="AE1142" s="1" t="s">
        <v>5</v>
      </c>
      <c r="AF1142" s="1" t="s">
        <v>2</v>
      </c>
      <c r="AG1142">
        <f t="shared" si="44"/>
        <v>0</v>
      </c>
    </row>
    <row r="1143" spans="27:33" hidden="1" x14ac:dyDescent="0.25">
      <c r="AA1143" t="s">
        <v>959</v>
      </c>
      <c r="AB1143" s="1" t="s">
        <v>7</v>
      </c>
      <c r="AC1143" s="1" t="s">
        <v>10</v>
      </c>
      <c r="AD1143" s="1" t="s">
        <v>1921</v>
      </c>
      <c r="AE1143" s="1" t="s">
        <v>1</v>
      </c>
      <c r="AF1143" s="1" t="s">
        <v>3</v>
      </c>
      <c r="AG1143">
        <f t="shared" si="44"/>
        <v>0</v>
      </c>
    </row>
    <row r="1144" spans="27:33" hidden="1" x14ac:dyDescent="0.25">
      <c r="AA1144" t="s">
        <v>1579</v>
      </c>
      <c r="AB1144" s="1" t="s">
        <v>2</v>
      </c>
      <c r="AC1144" s="1" t="s">
        <v>11</v>
      </c>
      <c r="AD1144" s="1" t="s">
        <v>2</v>
      </c>
      <c r="AE1144" s="1" t="s">
        <v>11</v>
      </c>
      <c r="AF1144" s="1" t="s">
        <v>5</v>
      </c>
      <c r="AG1144">
        <f t="shared" si="44"/>
        <v>0</v>
      </c>
    </row>
    <row r="1145" spans="27:33" hidden="1" x14ac:dyDescent="0.25">
      <c r="AA1145" t="s">
        <v>587</v>
      </c>
      <c r="AB1145" s="1" t="s">
        <v>11</v>
      </c>
      <c r="AC1145" s="1" t="s">
        <v>9</v>
      </c>
      <c r="AD1145" s="1" t="s">
        <v>5</v>
      </c>
      <c r="AE1145" s="1" t="s">
        <v>1922</v>
      </c>
      <c r="AF1145" s="1" t="s">
        <v>10</v>
      </c>
      <c r="AG1145">
        <f t="shared" si="44"/>
        <v>0</v>
      </c>
    </row>
    <row r="1146" spans="27:33" hidden="1" x14ac:dyDescent="0.25">
      <c r="AA1146" t="s">
        <v>1829</v>
      </c>
      <c r="AB1146" s="1" t="s">
        <v>1919</v>
      </c>
      <c r="AC1146" s="1" t="s">
        <v>11</v>
      </c>
      <c r="AD1146" s="1" t="s">
        <v>6</v>
      </c>
      <c r="AE1146" s="1" t="s">
        <v>1915</v>
      </c>
      <c r="AF1146" s="1" t="s">
        <v>1</v>
      </c>
      <c r="AG1146">
        <f t="shared" si="44"/>
        <v>0</v>
      </c>
    </row>
    <row r="1147" spans="27:33" hidden="1" x14ac:dyDescent="0.25">
      <c r="AA1147" t="s">
        <v>2106</v>
      </c>
      <c r="AB1147" s="1" t="s">
        <v>1914</v>
      </c>
      <c r="AC1147" s="1" t="s">
        <v>3</v>
      </c>
      <c r="AD1147" s="1" t="s">
        <v>10</v>
      </c>
      <c r="AE1147" s="1" t="s">
        <v>5</v>
      </c>
      <c r="AF1147" s="1" t="s">
        <v>2</v>
      </c>
      <c r="AG1147">
        <f t="shared" si="44"/>
        <v>0</v>
      </c>
    </row>
    <row r="1148" spans="27:33" hidden="1" x14ac:dyDescent="0.25">
      <c r="AA1148" t="s">
        <v>2249</v>
      </c>
      <c r="AB1148" s="1" t="s">
        <v>0</v>
      </c>
      <c r="AC1148" s="1" t="s">
        <v>1</v>
      </c>
      <c r="AD1148" s="1" t="s">
        <v>9</v>
      </c>
      <c r="AE1148" s="1" t="s">
        <v>5</v>
      </c>
      <c r="AF1148" s="1" t="s">
        <v>6</v>
      </c>
      <c r="AG1148">
        <f t="shared" si="44"/>
        <v>0</v>
      </c>
    </row>
    <row r="1149" spans="27:33" hidden="1" x14ac:dyDescent="0.25">
      <c r="AA1149" t="s">
        <v>2258</v>
      </c>
      <c r="AB1149" s="1" t="s">
        <v>0</v>
      </c>
      <c r="AC1149" s="1" t="s">
        <v>1917</v>
      </c>
      <c r="AD1149" s="1" t="s">
        <v>1</v>
      </c>
      <c r="AE1149" s="1" t="s">
        <v>0</v>
      </c>
      <c r="AF1149" s="1" t="s">
        <v>5</v>
      </c>
      <c r="AG1149">
        <f t="shared" si="44"/>
        <v>0</v>
      </c>
    </row>
    <row r="1150" spans="27:33" hidden="1" x14ac:dyDescent="0.25">
      <c r="AA1150" t="s">
        <v>670</v>
      </c>
      <c r="AB1150" s="1" t="s">
        <v>1920</v>
      </c>
      <c r="AC1150" s="1" t="s">
        <v>7</v>
      </c>
      <c r="AD1150" s="1" t="s">
        <v>5</v>
      </c>
      <c r="AE1150" s="1" t="s">
        <v>4</v>
      </c>
      <c r="AF1150" s="1" t="s">
        <v>11</v>
      </c>
      <c r="AG1150">
        <f t="shared" si="44"/>
        <v>0</v>
      </c>
    </row>
    <row r="1151" spans="27:33" hidden="1" x14ac:dyDescent="0.25">
      <c r="AA1151" t="s">
        <v>1593</v>
      </c>
      <c r="AB1151" s="1" t="s">
        <v>2</v>
      </c>
      <c r="AC1151" s="1" t="s">
        <v>10</v>
      </c>
      <c r="AD1151" s="1" t="s">
        <v>1921</v>
      </c>
      <c r="AE1151" s="1" t="s">
        <v>6</v>
      </c>
      <c r="AF1151" s="1" t="s">
        <v>5</v>
      </c>
      <c r="AG1151">
        <f t="shared" si="44"/>
        <v>0</v>
      </c>
    </row>
    <row r="1152" spans="27:33" hidden="1" x14ac:dyDescent="0.25">
      <c r="AA1152" t="s">
        <v>55</v>
      </c>
      <c r="AB1152" s="1" t="s">
        <v>1</v>
      </c>
      <c r="AC1152" s="1" t="s">
        <v>7</v>
      </c>
      <c r="AD1152" s="1" t="s">
        <v>1914</v>
      </c>
      <c r="AE1152" s="1" t="s">
        <v>5</v>
      </c>
      <c r="AF1152" s="1" t="s">
        <v>3</v>
      </c>
      <c r="AG1152">
        <f t="shared" si="44"/>
        <v>0</v>
      </c>
    </row>
    <row r="1153" spans="27:33" hidden="1" x14ac:dyDescent="0.25">
      <c r="AA1153" t="s">
        <v>1848</v>
      </c>
      <c r="AB1153" s="1" t="s">
        <v>1919</v>
      </c>
      <c r="AC1153" s="1" t="s">
        <v>10</v>
      </c>
      <c r="AD1153" s="1" t="s">
        <v>7</v>
      </c>
      <c r="AE1153" s="1" t="s">
        <v>7</v>
      </c>
      <c r="AF1153" s="1" t="s">
        <v>1</v>
      </c>
      <c r="AG1153">
        <f t="shared" si="44"/>
        <v>0</v>
      </c>
    </row>
    <row r="1154" spans="27:33" hidden="1" x14ac:dyDescent="0.25">
      <c r="AA1154" t="s">
        <v>461</v>
      </c>
      <c r="AB1154" s="1" t="s">
        <v>0</v>
      </c>
      <c r="AC1154" s="1" t="s">
        <v>5</v>
      </c>
      <c r="AD1154" s="1" t="s">
        <v>2</v>
      </c>
      <c r="AE1154" s="1" t="s">
        <v>4</v>
      </c>
      <c r="AF1154" s="1" t="s">
        <v>1</v>
      </c>
      <c r="AG1154">
        <f t="shared" si="44"/>
        <v>0</v>
      </c>
    </row>
    <row r="1155" spans="27:33" hidden="1" x14ac:dyDescent="0.25">
      <c r="AA1155" t="s">
        <v>1687</v>
      </c>
      <c r="AB1155" s="1" t="s">
        <v>4</v>
      </c>
      <c r="AC1155" s="1" t="s">
        <v>11</v>
      </c>
      <c r="AD1155" s="1" t="s">
        <v>6</v>
      </c>
      <c r="AE1155" s="1" t="s">
        <v>1</v>
      </c>
      <c r="AF1155" s="1" t="s">
        <v>12</v>
      </c>
      <c r="AG1155">
        <f t="shared" ref="AG1155:AG1218" si="45">IF(AND(Z1155&gt;0,Z1155&lt;7),AG1154+1,0)</f>
        <v>0</v>
      </c>
    </row>
    <row r="1156" spans="27:33" hidden="1" x14ac:dyDescent="0.25">
      <c r="AA1156" t="s">
        <v>175</v>
      </c>
      <c r="AB1156" s="1" t="s">
        <v>1914</v>
      </c>
      <c r="AC1156" s="1" t="s">
        <v>1</v>
      </c>
      <c r="AD1156" s="1" t="s">
        <v>3</v>
      </c>
      <c r="AE1156" s="1" t="s">
        <v>1914</v>
      </c>
      <c r="AF1156" s="1" t="s">
        <v>1</v>
      </c>
      <c r="AG1156">
        <f t="shared" si="45"/>
        <v>0</v>
      </c>
    </row>
    <row r="1157" spans="27:33" hidden="1" x14ac:dyDescent="0.25">
      <c r="AA1157" t="s">
        <v>769</v>
      </c>
      <c r="AB1157" s="1" t="s">
        <v>1921</v>
      </c>
      <c r="AC1157" s="1" t="s">
        <v>3</v>
      </c>
      <c r="AD1157" s="1" t="s">
        <v>10</v>
      </c>
      <c r="AE1157" s="1" t="s">
        <v>1</v>
      </c>
      <c r="AF1157" s="1" t="s">
        <v>7</v>
      </c>
      <c r="AG1157">
        <f t="shared" si="45"/>
        <v>0</v>
      </c>
    </row>
    <row r="1158" spans="27:33" hidden="1" x14ac:dyDescent="0.25">
      <c r="AA1158" t="s">
        <v>638</v>
      </c>
      <c r="AB1158" s="1" t="s">
        <v>1920</v>
      </c>
      <c r="AC1158" s="1" t="s">
        <v>10</v>
      </c>
      <c r="AD1158" s="1" t="s">
        <v>1</v>
      </c>
      <c r="AE1158" s="1" t="s">
        <v>1915</v>
      </c>
      <c r="AF1158" s="1" t="s">
        <v>5</v>
      </c>
      <c r="AG1158">
        <f t="shared" si="45"/>
        <v>0</v>
      </c>
    </row>
    <row r="1159" spans="27:33" hidden="1" x14ac:dyDescent="0.25">
      <c r="AA1159" t="s">
        <v>2052</v>
      </c>
      <c r="AB1159" s="1" t="s">
        <v>1</v>
      </c>
      <c r="AC1159" s="1" t="s">
        <v>3</v>
      </c>
      <c r="AD1159" s="1" t="s">
        <v>0</v>
      </c>
      <c r="AE1159" s="1" t="s">
        <v>11</v>
      </c>
      <c r="AF1159" s="1" t="s">
        <v>6</v>
      </c>
      <c r="AG1159">
        <f t="shared" si="45"/>
        <v>0</v>
      </c>
    </row>
    <row r="1160" spans="27:33" hidden="1" x14ac:dyDescent="0.25">
      <c r="AA1160" t="s">
        <v>525</v>
      </c>
      <c r="AB1160" s="1" t="s">
        <v>1915</v>
      </c>
      <c r="AC1160" s="1" t="s">
        <v>11</v>
      </c>
      <c r="AD1160" s="1" t="s">
        <v>2</v>
      </c>
      <c r="AE1160" s="1" t="s">
        <v>1915</v>
      </c>
      <c r="AF1160" s="1" t="s">
        <v>11</v>
      </c>
      <c r="AG1160">
        <f t="shared" si="45"/>
        <v>0</v>
      </c>
    </row>
    <row r="1161" spans="27:33" hidden="1" x14ac:dyDescent="0.25">
      <c r="AA1161" t="s">
        <v>1571</v>
      </c>
      <c r="AB1161" s="1" t="s">
        <v>2</v>
      </c>
      <c r="AC1161" s="1" t="s">
        <v>11</v>
      </c>
      <c r="AD1161" s="1" t="s">
        <v>6</v>
      </c>
      <c r="AE1161" s="1" t="s">
        <v>10</v>
      </c>
      <c r="AF1161" s="1" t="s">
        <v>7</v>
      </c>
      <c r="AG1161">
        <f t="shared" si="45"/>
        <v>0</v>
      </c>
    </row>
    <row r="1162" spans="27:33" hidden="1" x14ac:dyDescent="0.25">
      <c r="AA1162" t="s">
        <v>2242</v>
      </c>
      <c r="AB1162" s="1" t="s">
        <v>1920</v>
      </c>
      <c r="AC1162" s="1" t="s">
        <v>11</v>
      </c>
      <c r="AD1162" s="1" t="s">
        <v>7</v>
      </c>
      <c r="AE1162" s="1" t="s">
        <v>5</v>
      </c>
      <c r="AF1162" s="1" t="s">
        <v>6</v>
      </c>
      <c r="AG1162">
        <f t="shared" si="45"/>
        <v>0</v>
      </c>
    </row>
    <row r="1163" spans="27:33" hidden="1" x14ac:dyDescent="0.25">
      <c r="AA1163" t="s">
        <v>475</v>
      </c>
      <c r="AB1163" s="1" t="s">
        <v>0</v>
      </c>
      <c r="AC1163" s="1" t="s">
        <v>3</v>
      </c>
      <c r="AD1163" s="1" t="s">
        <v>5</v>
      </c>
      <c r="AE1163" s="1" t="s">
        <v>1</v>
      </c>
      <c r="AF1163" s="1" t="s">
        <v>3</v>
      </c>
      <c r="AG1163">
        <f t="shared" si="45"/>
        <v>0</v>
      </c>
    </row>
    <row r="1164" spans="27:33" hidden="1" x14ac:dyDescent="0.25">
      <c r="AA1164" t="s">
        <v>125</v>
      </c>
      <c r="AB1164" s="1" t="s">
        <v>1</v>
      </c>
      <c r="AC1164" s="1" t="s">
        <v>2</v>
      </c>
      <c r="AD1164" s="1" t="s">
        <v>0</v>
      </c>
      <c r="AE1164" s="1" t="s">
        <v>8</v>
      </c>
      <c r="AF1164" s="1" t="s">
        <v>1</v>
      </c>
      <c r="AG1164">
        <f t="shared" si="45"/>
        <v>0</v>
      </c>
    </row>
    <row r="1165" spans="27:33" hidden="1" x14ac:dyDescent="0.25">
      <c r="AA1165" t="s">
        <v>2089</v>
      </c>
      <c r="AB1165" s="1" t="s">
        <v>3</v>
      </c>
      <c r="AC1165" s="1" t="s">
        <v>11</v>
      </c>
      <c r="AD1165" s="1" t="s">
        <v>1919</v>
      </c>
      <c r="AE1165" s="1" t="s">
        <v>11</v>
      </c>
      <c r="AF1165" s="1" t="s">
        <v>2</v>
      </c>
      <c r="AG1165">
        <f t="shared" si="45"/>
        <v>0</v>
      </c>
    </row>
    <row r="1166" spans="27:33" hidden="1" x14ac:dyDescent="0.25">
      <c r="AA1166" t="s">
        <v>1779</v>
      </c>
      <c r="AB1166" s="1" t="s">
        <v>4</v>
      </c>
      <c r="AC1166" s="1" t="s">
        <v>8</v>
      </c>
      <c r="AD1166" s="1" t="s">
        <v>13</v>
      </c>
      <c r="AE1166" s="1" t="s">
        <v>1914</v>
      </c>
      <c r="AF1166" s="1" t="s">
        <v>1</v>
      </c>
      <c r="AG1166">
        <f t="shared" si="45"/>
        <v>0</v>
      </c>
    </row>
    <row r="1167" spans="27:33" hidden="1" x14ac:dyDescent="0.25">
      <c r="AA1167" t="s">
        <v>1352</v>
      </c>
      <c r="AB1167" s="1" t="s">
        <v>9</v>
      </c>
      <c r="AC1167" s="1" t="s">
        <v>7</v>
      </c>
      <c r="AD1167" s="1" t="s">
        <v>1</v>
      </c>
      <c r="AE1167" s="1" t="s">
        <v>12</v>
      </c>
      <c r="AF1167" s="1" t="s">
        <v>1</v>
      </c>
      <c r="AG1167">
        <f t="shared" si="45"/>
        <v>0</v>
      </c>
    </row>
    <row r="1168" spans="27:33" hidden="1" x14ac:dyDescent="0.25">
      <c r="AA1168" t="s">
        <v>645</v>
      </c>
      <c r="AB1168" s="1" t="s">
        <v>1920</v>
      </c>
      <c r="AC1168" s="1" t="s">
        <v>10</v>
      </c>
      <c r="AD1168" s="1" t="s">
        <v>15</v>
      </c>
      <c r="AE1168" s="1" t="s">
        <v>1</v>
      </c>
      <c r="AF1168" s="1" t="s">
        <v>3</v>
      </c>
      <c r="AG1168">
        <f t="shared" si="45"/>
        <v>0</v>
      </c>
    </row>
    <row r="1169" spans="27:33" hidden="1" x14ac:dyDescent="0.25">
      <c r="AA1169" t="s">
        <v>1208</v>
      </c>
      <c r="AB1169" s="1" t="s">
        <v>5</v>
      </c>
      <c r="AC1169" s="1" t="s">
        <v>15</v>
      </c>
      <c r="AD1169" s="1" t="s">
        <v>11</v>
      </c>
      <c r="AE1169" s="1" t="s">
        <v>1</v>
      </c>
      <c r="AF1169" s="1" t="s">
        <v>3</v>
      </c>
      <c r="AG1169">
        <f t="shared" si="45"/>
        <v>0</v>
      </c>
    </row>
    <row r="1170" spans="27:33" hidden="1" x14ac:dyDescent="0.25">
      <c r="AA1170" t="s">
        <v>1130</v>
      </c>
      <c r="AB1170" s="1" t="s">
        <v>13</v>
      </c>
      <c r="AC1170" s="1" t="s">
        <v>8</v>
      </c>
      <c r="AD1170" s="1" t="s">
        <v>3</v>
      </c>
      <c r="AE1170" s="1" t="s">
        <v>1</v>
      </c>
      <c r="AF1170" s="1" t="s">
        <v>7</v>
      </c>
      <c r="AG1170">
        <f t="shared" si="45"/>
        <v>0</v>
      </c>
    </row>
    <row r="1171" spans="27:33" hidden="1" x14ac:dyDescent="0.25">
      <c r="AA1171" t="s">
        <v>225</v>
      </c>
      <c r="AB1171" s="1" t="s">
        <v>1914</v>
      </c>
      <c r="AC1171" s="1" t="s">
        <v>5</v>
      </c>
      <c r="AD1171" s="1" t="s">
        <v>7</v>
      </c>
      <c r="AE1171" s="1" t="s">
        <v>11</v>
      </c>
      <c r="AF1171" s="1" t="s">
        <v>5</v>
      </c>
      <c r="AG1171">
        <f t="shared" si="45"/>
        <v>0</v>
      </c>
    </row>
    <row r="1172" spans="27:33" hidden="1" x14ac:dyDescent="0.25">
      <c r="AA1172" t="s">
        <v>2160</v>
      </c>
      <c r="AB1172" s="1" t="s">
        <v>9</v>
      </c>
      <c r="AC1172" s="1" t="s">
        <v>8</v>
      </c>
      <c r="AD1172" s="1" t="s">
        <v>3</v>
      </c>
      <c r="AE1172" s="1" t="s">
        <v>10</v>
      </c>
      <c r="AF1172" s="1" t="s">
        <v>6</v>
      </c>
      <c r="AG1172">
        <f t="shared" si="45"/>
        <v>0</v>
      </c>
    </row>
    <row r="1173" spans="27:33" hidden="1" x14ac:dyDescent="0.25">
      <c r="AA1173" t="s">
        <v>1186</v>
      </c>
      <c r="AB1173" s="1" t="s">
        <v>6</v>
      </c>
      <c r="AC1173" s="1" t="s">
        <v>5</v>
      </c>
      <c r="AD1173" s="1" t="s">
        <v>1919</v>
      </c>
      <c r="AE1173" s="1" t="s">
        <v>10</v>
      </c>
      <c r="AF1173" s="1" t="s">
        <v>1</v>
      </c>
      <c r="AG1173">
        <f t="shared" si="45"/>
        <v>0</v>
      </c>
    </row>
    <row r="1174" spans="27:33" hidden="1" x14ac:dyDescent="0.25">
      <c r="AA1174" t="s">
        <v>978</v>
      </c>
      <c r="AB1174" s="1" t="s">
        <v>7</v>
      </c>
      <c r="AC1174" s="1" t="s">
        <v>7</v>
      </c>
      <c r="AD1174" s="1" t="s">
        <v>1</v>
      </c>
      <c r="AE1174" s="1" t="s">
        <v>6</v>
      </c>
      <c r="AF1174" s="1" t="s">
        <v>1</v>
      </c>
      <c r="AG1174">
        <f t="shared" si="45"/>
        <v>0</v>
      </c>
    </row>
    <row r="1175" spans="27:33" hidden="1" x14ac:dyDescent="0.25">
      <c r="AA1175" t="s">
        <v>1267</v>
      </c>
      <c r="AB1175" s="1" t="s">
        <v>9</v>
      </c>
      <c r="AC1175" s="1" t="s">
        <v>1</v>
      </c>
      <c r="AD1175" s="1" t="s">
        <v>3</v>
      </c>
      <c r="AE1175" s="1" t="s">
        <v>0</v>
      </c>
      <c r="AF1175" s="1" t="s">
        <v>1</v>
      </c>
      <c r="AG1175">
        <f t="shared" si="45"/>
        <v>0</v>
      </c>
    </row>
    <row r="1176" spans="27:33" hidden="1" x14ac:dyDescent="0.25">
      <c r="AA1176" t="s">
        <v>1435</v>
      </c>
      <c r="AB1176" s="1" t="s">
        <v>3</v>
      </c>
      <c r="AC1176" s="1" t="s">
        <v>1</v>
      </c>
      <c r="AD1176" s="1" t="s">
        <v>13</v>
      </c>
      <c r="AE1176" s="1" t="s">
        <v>1</v>
      </c>
      <c r="AF1176" s="1" t="s">
        <v>7</v>
      </c>
      <c r="AG1176">
        <f t="shared" si="45"/>
        <v>0</v>
      </c>
    </row>
    <row r="1177" spans="27:33" hidden="1" x14ac:dyDescent="0.25">
      <c r="AA1177" t="s">
        <v>539</v>
      </c>
      <c r="AB1177" s="1" t="s">
        <v>1915</v>
      </c>
      <c r="AC1177" s="1" t="s">
        <v>10</v>
      </c>
      <c r="AD1177" s="1" t="s">
        <v>2</v>
      </c>
      <c r="AE1177" s="1" t="s">
        <v>0</v>
      </c>
      <c r="AF1177" s="1" t="s">
        <v>5</v>
      </c>
      <c r="AG1177">
        <f t="shared" si="45"/>
        <v>0</v>
      </c>
    </row>
    <row r="1178" spans="27:33" hidden="1" x14ac:dyDescent="0.25">
      <c r="AA1178" t="s">
        <v>1410</v>
      </c>
      <c r="AB1178" s="1" t="s">
        <v>9</v>
      </c>
      <c r="AC1178" s="1" t="s">
        <v>8</v>
      </c>
      <c r="AD1178" s="1" t="s">
        <v>1916</v>
      </c>
      <c r="AE1178" s="1" t="s">
        <v>1</v>
      </c>
      <c r="AF1178" s="1" t="s">
        <v>7</v>
      </c>
      <c r="AG1178">
        <f t="shared" si="45"/>
        <v>0</v>
      </c>
    </row>
    <row r="1179" spans="27:33" hidden="1" x14ac:dyDescent="0.25">
      <c r="AA1179" t="s">
        <v>392</v>
      </c>
      <c r="AB1179" s="1" t="s">
        <v>0</v>
      </c>
      <c r="AC1179" s="1" t="s">
        <v>1917</v>
      </c>
      <c r="AD1179" s="1" t="s">
        <v>5</v>
      </c>
      <c r="AE1179" s="1" t="s">
        <v>9</v>
      </c>
      <c r="AF1179" s="1" t="s">
        <v>5</v>
      </c>
      <c r="AG1179">
        <f t="shared" si="45"/>
        <v>0</v>
      </c>
    </row>
    <row r="1180" spans="27:33" hidden="1" x14ac:dyDescent="0.25">
      <c r="AA1180" t="s">
        <v>1495</v>
      </c>
      <c r="AB1180" s="1" t="s">
        <v>3</v>
      </c>
      <c r="AC1180" s="1" t="s">
        <v>5</v>
      </c>
      <c r="AD1180" s="1" t="s">
        <v>1921</v>
      </c>
      <c r="AE1180" s="1" t="s">
        <v>1</v>
      </c>
      <c r="AF1180" s="1" t="s">
        <v>3</v>
      </c>
      <c r="AG1180">
        <f t="shared" si="45"/>
        <v>0</v>
      </c>
    </row>
    <row r="1181" spans="27:33" hidden="1" x14ac:dyDescent="0.25">
      <c r="AA1181" t="s">
        <v>841</v>
      </c>
      <c r="AB1181" s="1" t="s">
        <v>1917</v>
      </c>
      <c r="AC1181" s="1" t="s">
        <v>5</v>
      </c>
      <c r="AD1181" s="1" t="s">
        <v>2</v>
      </c>
      <c r="AE1181" s="1" t="s">
        <v>0</v>
      </c>
      <c r="AF1181" s="1" t="s">
        <v>5</v>
      </c>
      <c r="AG1181">
        <f t="shared" si="45"/>
        <v>0</v>
      </c>
    </row>
    <row r="1182" spans="27:33" hidden="1" x14ac:dyDescent="0.25">
      <c r="AA1182" t="s">
        <v>2316</v>
      </c>
      <c r="AB1182" s="1" t="s">
        <v>1920</v>
      </c>
      <c r="AC1182" s="1" t="s">
        <v>8</v>
      </c>
      <c r="AD1182" s="1" t="s">
        <v>4</v>
      </c>
      <c r="AE1182" s="1" t="s">
        <v>10</v>
      </c>
      <c r="AF1182" s="1" t="s">
        <v>7</v>
      </c>
      <c r="AG1182">
        <f t="shared" si="45"/>
        <v>0</v>
      </c>
    </row>
    <row r="1183" spans="27:33" hidden="1" x14ac:dyDescent="0.25">
      <c r="AA1183" t="s">
        <v>1008</v>
      </c>
      <c r="AB1183" s="1" t="s">
        <v>13</v>
      </c>
      <c r="AC1183" s="1" t="s">
        <v>1</v>
      </c>
      <c r="AD1183" s="1" t="s">
        <v>1921</v>
      </c>
      <c r="AE1183" s="1" t="s">
        <v>6</v>
      </c>
      <c r="AF1183" s="1" t="s">
        <v>1</v>
      </c>
      <c r="AG1183">
        <f t="shared" si="45"/>
        <v>0</v>
      </c>
    </row>
    <row r="1184" spans="27:33" hidden="1" x14ac:dyDescent="0.25">
      <c r="AA1184" t="s">
        <v>1438</v>
      </c>
      <c r="AB1184" s="1" t="s">
        <v>3</v>
      </c>
      <c r="AC1184" s="1" t="s">
        <v>1</v>
      </c>
      <c r="AD1184" s="1" t="s">
        <v>9</v>
      </c>
      <c r="AE1184" s="1" t="s">
        <v>1</v>
      </c>
      <c r="AF1184" s="1" t="s">
        <v>3</v>
      </c>
      <c r="AG1184">
        <f t="shared" si="45"/>
        <v>0</v>
      </c>
    </row>
    <row r="1185" spans="27:33" hidden="1" x14ac:dyDescent="0.25">
      <c r="AA1185" t="s">
        <v>1164</v>
      </c>
      <c r="AB1185" s="1" t="s">
        <v>6</v>
      </c>
      <c r="AC1185" s="1" t="s">
        <v>10</v>
      </c>
      <c r="AD1185" s="1" t="s">
        <v>11</v>
      </c>
      <c r="AE1185" s="1" t="s">
        <v>1919</v>
      </c>
      <c r="AF1185" s="1" t="s">
        <v>11</v>
      </c>
      <c r="AG1185">
        <f t="shared" si="45"/>
        <v>0</v>
      </c>
    </row>
    <row r="1186" spans="27:33" hidden="1" x14ac:dyDescent="0.25">
      <c r="AA1186" t="s">
        <v>1952</v>
      </c>
      <c r="AB1186" s="1" t="s">
        <v>0</v>
      </c>
      <c r="AC1186" s="1" t="s">
        <v>1</v>
      </c>
      <c r="AD1186" s="1" t="s">
        <v>6</v>
      </c>
      <c r="AE1186" s="1" t="s">
        <v>1</v>
      </c>
      <c r="AF1186" s="1" t="s">
        <v>2</v>
      </c>
      <c r="AG1186">
        <f t="shared" si="45"/>
        <v>0</v>
      </c>
    </row>
    <row r="1187" spans="27:33" hidden="1" x14ac:dyDescent="0.25">
      <c r="AA1187" t="s">
        <v>758</v>
      </c>
      <c r="AB1187" s="1" t="s">
        <v>1921</v>
      </c>
      <c r="AC1187" s="1" t="s">
        <v>3</v>
      </c>
      <c r="AD1187" s="1" t="s">
        <v>1</v>
      </c>
      <c r="AE1187" s="1" t="s">
        <v>6</v>
      </c>
      <c r="AF1187" s="1" t="s">
        <v>5</v>
      </c>
      <c r="AG1187">
        <f t="shared" si="45"/>
        <v>0</v>
      </c>
    </row>
    <row r="1188" spans="27:33" hidden="1" x14ac:dyDescent="0.25">
      <c r="AA1188" t="s">
        <v>120</v>
      </c>
      <c r="AB1188" s="1" t="s">
        <v>1</v>
      </c>
      <c r="AC1188" s="1" t="s">
        <v>3</v>
      </c>
      <c r="AD1188" s="1" t="s">
        <v>13</v>
      </c>
      <c r="AE1188" s="1" t="s">
        <v>1</v>
      </c>
      <c r="AF1188" s="1" t="s">
        <v>3</v>
      </c>
      <c r="AG1188">
        <f t="shared" si="45"/>
        <v>0</v>
      </c>
    </row>
    <row r="1189" spans="27:33" hidden="1" x14ac:dyDescent="0.25">
      <c r="AA1189" t="s">
        <v>94</v>
      </c>
      <c r="AB1189" s="1" t="s">
        <v>1</v>
      </c>
      <c r="AC1189" s="1" t="s">
        <v>6</v>
      </c>
      <c r="AD1189" s="1" t="s">
        <v>4</v>
      </c>
      <c r="AE1189" s="1" t="s">
        <v>11</v>
      </c>
      <c r="AF1189" s="1" t="s">
        <v>2</v>
      </c>
      <c r="AG1189">
        <f t="shared" si="45"/>
        <v>0</v>
      </c>
    </row>
    <row r="1190" spans="27:33" hidden="1" x14ac:dyDescent="0.25">
      <c r="AA1190" t="s">
        <v>205</v>
      </c>
      <c r="AB1190" s="1" t="s">
        <v>1914</v>
      </c>
      <c r="AC1190" s="1" t="s">
        <v>11</v>
      </c>
      <c r="AD1190" s="1" t="s">
        <v>2</v>
      </c>
      <c r="AE1190" s="1" t="s">
        <v>1</v>
      </c>
      <c r="AF1190" s="1" t="s">
        <v>3</v>
      </c>
      <c r="AG1190">
        <f t="shared" si="45"/>
        <v>0</v>
      </c>
    </row>
    <row r="1191" spans="27:33" hidden="1" x14ac:dyDescent="0.25">
      <c r="AA1191" t="s">
        <v>1734</v>
      </c>
      <c r="AB1191" s="1" t="s">
        <v>4</v>
      </c>
      <c r="AC1191" s="1" t="s">
        <v>5</v>
      </c>
      <c r="AD1191" s="1" t="s">
        <v>3</v>
      </c>
      <c r="AE1191" s="1" t="s">
        <v>1</v>
      </c>
      <c r="AF1191" s="1" t="s">
        <v>7</v>
      </c>
      <c r="AG1191">
        <f t="shared" si="45"/>
        <v>0</v>
      </c>
    </row>
    <row r="1192" spans="27:33" hidden="1" x14ac:dyDescent="0.25">
      <c r="AA1192" t="s">
        <v>2200</v>
      </c>
      <c r="AB1192" s="1" t="s">
        <v>9</v>
      </c>
      <c r="AC1192" s="1" t="s">
        <v>5</v>
      </c>
      <c r="AD1192" s="1" t="s">
        <v>13</v>
      </c>
      <c r="AE1192" s="1" t="s">
        <v>11</v>
      </c>
      <c r="AF1192" s="1" t="s">
        <v>12</v>
      </c>
      <c r="AG1192">
        <f t="shared" si="45"/>
        <v>0</v>
      </c>
    </row>
    <row r="1193" spans="27:33" hidden="1" x14ac:dyDescent="0.25">
      <c r="AA1193" t="s">
        <v>1155</v>
      </c>
      <c r="AB1193" s="1" t="s">
        <v>6</v>
      </c>
      <c r="AC1193" s="1" t="s">
        <v>11</v>
      </c>
      <c r="AD1193" s="1" t="s">
        <v>0</v>
      </c>
      <c r="AE1193" s="1" t="s">
        <v>10</v>
      </c>
      <c r="AF1193" s="1" t="s">
        <v>5</v>
      </c>
      <c r="AG1193">
        <f t="shared" si="45"/>
        <v>0</v>
      </c>
    </row>
    <row r="1194" spans="27:33" hidden="1" x14ac:dyDescent="0.25">
      <c r="AA1194" t="s">
        <v>1730</v>
      </c>
      <c r="AB1194" s="1" t="s">
        <v>4</v>
      </c>
      <c r="AC1194" s="1" t="s">
        <v>5</v>
      </c>
      <c r="AD1194" s="1" t="s">
        <v>6</v>
      </c>
      <c r="AE1194" s="1" t="s">
        <v>4</v>
      </c>
      <c r="AF1194" s="1" t="s">
        <v>1</v>
      </c>
      <c r="AG1194">
        <f t="shared" si="45"/>
        <v>0</v>
      </c>
    </row>
    <row r="1195" spans="27:33" hidden="1" x14ac:dyDescent="0.25">
      <c r="AA1195" t="s">
        <v>1966</v>
      </c>
      <c r="AB1195" s="1" t="s">
        <v>6</v>
      </c>
      <c r="AC1195" s="1" t="s">
        <v>8</v>
      </c>
      <c r="AD1195" s="1" t="s">
        <v>1914</v>
      </c>
      <c r="AE1195" s="1" t="s">
        <v>11</v>
      </c>
      <c r="AF1195" s="1" t="s">
        <v>2</v>
      </c>
      <c r="AG1195">
        <f t="shared" si="45"/>
        <v>0</v>
      </c>
    </row>
    <row r="1196" spans="27:33" hidden="1" x14ac:dyDescent="0.25">
      <c r="AA1196" t="s">
        <v>1756</v>
      </c>
      <c r="AB1196" s="1" t="s">
        <v>4</v>
      </c>
      <c r="AC1196" s="1" t="s">
        <v>3</v>
      </c>
      <c r="AD1196" s="1" t="s">
        <v>1</v>
      </c>
      <c r="AE1196" s="1" t="s">
        <v>4</v>
      </c>
      <c r="AF1196" s="1" t="s">
        <v>1</v>
      </c>
      <c r="AG1196">
        <f t="shared" si="45"/>
        <v>0</v>
      </c>
    </row>
    <row r="1197" spans="27:33" hidden="1" x14ac:dyDescent="0.25">
      <c r="AA1197" t="s">
        <v>607</v>
      </c>
      <c r="AB1197" s="1" t="s">
        <v>1920</v>
      </c>
      <c r="AC1197" s="1" t="s">
        <v>1</v>
      </c>
      <c r="AD1197" s="1" t="s">
        <v>15</v>
      </c>
      <c r="AE1197" s="1" t="s">
        <v>1</v>
      </c>
      <c r="AF1197" s="1" t="s">
        <v>3</v>
      </c>
      <c r="AG1197">
        <f t="shared" si="45"/>
        <v>0</v>
      </c>
    </row>
    <row r="1198" spans="27:33" hidden="1" x14ac:dyDescent="0.25">
      <c r="AA1198" t="s">
        <v>613</v>
      </c>
      <c r="AB1198" s="1" t="s">
        <v>1920</v>
      </c>
      <c r="AC1198" s="1" t="s">
        <v>1</v>
      </c>
      <c r="AD1198" s="1" t="s">
        <v>7</v>
      </c>
      <c r="AE1198" s="1" t="s">
        <v>4</v>
      </c>
      <c r="AF1198" s="1" t="s">
        <v>1</v>
      </c>
      <c r="AG1198">
        <f t="shared" si="45"/>
        <v>0</v>
      </c>
    </row>
    <row r="1199" spans="27:33" hidden="1" x14ac:dyDescent="0.25">
      <c r="AA1199" t="s">
        <v>893</v>
      </c>
      <c r="AB1199" s="1" t="s">
        <v>15</v>
      </c>
      <c r="AC1199" s="1" t="s">
        <v>5</v>
      </c>
      <c r="AD1199" s="1" t="s">
        <v>6</v>
      </c>
      <c r="AE1199" s="1" t="s">
        <v>1915</v>
      </c>
      <c r="AF1199" s="1" t="s">
        <v>5</v>
      </c>
      <c r="AG1199">
        <f t="shared" si="45"/>
        <v>0</v>
      </c>
    </row>
    <row r="1200" spans="27:33" hidden="1" x14ac:dyDescent="0.25">
      <c r="AA1200" t="s">
        <v>1946</v>
      </c>
      <c r="AB1200" s="1" t="s">
        <v>1</v>
      </c>
      <c r="AC1200" s="1" t="s">
        <v>2</v>
      </c>
      <c r="AD1200" s="1" t="s">
        <v>0</v>
      </c>
      <c r="AE1200" s="1" t="s">
        <v>5</v>
      </c>
      <c r="AF1200" s="1" t="s">
        <v>2</v>
      </c>
      <c r="AG1200">
        <f t="shared" si="45"/>
        <v>0</v>
      </c>
    </row>
    <row r="1201" spans="27:33" hidden="1" x14ac:dyDescent="0.25">
      <c r="AA1201" t="s">
        <v>1205</v>
      </c>
      <c r="AB1201" s="1" t="s">
        <v>5</v>
      </c>
      <c r="AC1201" s="1" t="s">
        <v>1915</v>
      </c>
      <c r="AD1201" s="1" t="s">
        <v>10</v>
      </c>
      <c r="AE1201" s="1" t="s">
        <v>1</v>
      </c>
      <c r="AF1201" s="1" t="s">
        <v>3</v>
      </c>
      <c r="AG1201">
        <f t="shared" si="45"/>
        <v>0</v>
      </c>
    </row>
    <row r="1202" spans="27:33" hidden="1" x14ac:dyDescent="0.25">
      <c r="AA1202" t="s">
        <v>2218</v>
      </c>
      <c r="AB1202" s="1" t="s">
        <v>1921</v>
      </c>
      <c r="AC1202" s="1" t="s">
        <v>1</v>
      </c>
      <c r="AD1202" s="1" t="s">
        <v>7</v>
      </c>
      <c r="AE1202" s="1" t="s">
        <v>5</v>
      </c>
      <c r="AF1202" s="1" t="s">
        <v>6</v>
      </c>
      <c r="AG1202">
        <f t="shared" si="45"/>
        <v>0</v>
      </c>
    </row>
    <row r="1203" spans="27:33" hidden="1" x14ac:dyDescent="0.25">
      <c r="AA1203" t="s">
        <v>1673</v>
      </c>
      <c r="AB1203" s="1" t="s">
        <v>4</v>
      </c>
      <c r="AC1203" s="1" t="s">
        <v>1</v>
      </c>
      <c r="AD1203" s="1" t="s">
        <v>2</v>
      </c>
      <c r="AE1203" s="1" t="s">
        <v>1</v>
      </c>
      <c r="AF1203" s="1" t="s">
        <v>3</v>
      </c>
      <c r="AG1203">
        <f t="shared" si="45"/>
        <v>0</v>
      </c>
    </row>
    <row r="1204" spans="27:33" hidden="1" x14ac:dyDescent="0.25">
      <c r="AA1204" t="s">
        <v>952</v>
      </c>
      <c r="AB1204" s="1" t="s">
        <v>7</v>
      </c>
      <c r="AC1204" s="1" t="s">
        <v>10</v>
      </c>
      <c r="AD1204" s="1" t="s">
        <v>1914</v>
      </c>
      <c r="AE1204" s="1" t="s">
        <v>3</v>
      </c>
      <c r="AF1204" s="1" t="s">
        <v>11</v>
      </c>
      <c r="AG1204">
        <f t="shared" si="45"/>
        <v>0</v>
      </c>
    </row>
    <row r="1205" spans="27:33" hidden="1" x14ac:dyDescent="0.25">
      <c r="AA1205" t="s">
        <v>1899</v>
      </c>
      <c r="AB1205" s="1" t="s">
        <v>12</v>
      </c>
      <c r="AC1205" s="1" t="s">
        <v>1</v>
      </c>
      <c r="AD1205" s="1" t="s">
        <v>13</v>
      </c>
      <c r="AE1205" s="1" t="s">
        <v>1914</v>
      </c>
      <c r="AF1205" s="1" t="s">
        <v>5</v>
      </c>
      <c r="AG1205">
        <f t="shared" si="45"/>
        <v>0</v>
      </c>
    </row>
    <row r="1206" spans="27:33" hidden="1" x14ac:dyDescent="0.25">
      <c r="AA1206" t="s">
        <v>904</v>
      </c>
      <c r="AB1206" s="1" t="s">
        <v>15</v>
      </c>
      <c r="AC1206" s="1" t="s">
        <v>8</v>
      </c>
      <c r="AD1206" s="1" t="s">
        <v>3</v>
      </c>
      <c r="AE1206" s="1" t="s">
        <v>1</v>
      </c>
      <c r="AF1206" s="1" t="s">
        <v>3</v>
      </c>
      <c r="AG1206">
        <f t="shared" si="45"/>
        <v>0</v>
      </c>
    </row>
    <row r="1207" spans="27:33" hidden="1" x14ac:dyDescent="0.25">
      <c r="AA1207" t="s">
        <v>574</v>
      </c>
      <c r="AB1207" s="1" t="s">
        <v>11</v>
      </c>
      <c r="AC1207" s="1" t="s">
        <v>1914</v>
      </c>
      <c r="AD1207" s="1" t="s">
        <v>3</v>
      </c>
      <c r="AE1207" s="1" t="s">
        <v>10</v>
      </c>
      <c r="AF1207" s="1" t="s">
        <v>5</v>
      </c>
      <c r="AG1207">
        <f t="shared" si="45"/>
        <v>0</v>
      </c>
    </row>
    <row r="1208" spans="27:33" hidden="1" x14ac:dyDescent="0.25">
      <c r="AA1208" t="s">
        <v>28</v>
      </c>
      <c r="AB1208" s="1" t="s">
        <v>1</v>
      </c>
      <c r="AC1208" s="1" t="s">
        <v>0</v>
      </c>
      <c r="AD1208" s="1" t="s">
        <v>11</v>
      </c>
      <c r="AE1208" s="1" t="s">
        <v>3</v>
      </c>
      <c r="AF1208" s="1" t="s">
        <v>1</v>
      </c>
      <c r="AG1208">
        <f t="shared" si="45"/>
        <v>0</v>
      </c>
    </row>
    <row r="1209" spans="27:33" hidden="1" x14ac:dyDescent="0.25">
      <c r="AA1209" t="s">
        <v>733</v>
      </c>
      <c r="AB1209" s="1" t="s">
        <v>1921</v>
      </c>
      <c r="AC1209" s="1" t="s">
        <v>10</v>
      </c>
      <c r="AD1209" s="1" t="s">
        <v>3</v>
      </c>
      <c r="AE1209" s="1" t="s">
        <v>1</v>
      </c>
      <c r="AF1209" s="1" t="s">
        <v>3</v>
      </c>
      <c r="AG1209">
        <f t="shared" si="45"/>
        <v>0</v>
      </c>
    </row>
    <row r="1210" spans="27:33" hidden="1" x14ac:dyDescent="0.25">
      <c r="AA1210" t="s">
        <v>1787</v>
      </c>
      <c r="AB1210" s="1" t="s">
        <v>4</v>
      </c>
      <c r="AC1210" s="1" t="s">
        <v>8</v>
      </c>
      <c r="AD1210" s="1" t="s">
        <v>3</v>
      </c>
      <c r="AE1210" s="1" t="s">
        <v>3</v>
      </c>
      <c r="AF1210" s="1" t="s">
        <v>1</v>
      </c>
      <c r="AG1210">
        <f t="shared" si="45"/>
        <v>0</v>
      </c>
    </row>
    <row r="1211" spans="27:33" hidden="1" x14ac:dyDescent="0.25">
      <c r="AA1211" t="s">
        <v>807</v>
      </c>
      <c r="AB1211" s="1" t="s">
        <v>1917</v>
      </c>
      <c r="AC1211" s="1" t="s">
        <v>1</v>
      </c>
      <c r="AD1211" s="1" t="s">
        <v>3</v>
      </c>
      <c r="AE1211" s="1" t="s">
        <v>4</v>
      </c>
      <c r="AF1211" s="1" t="s">
        <v>1</v>
      </c>
      <c r="AG1211">
        <f t="shared" si="45"/>
        <v>0</v>
      </c>
    </row>
    <row r="1212" spans="27:33" hidden="1" x14ac:dyDescent="0.25">
      <c r="AA1212" t="s">
        <v>824</v>
      </c>
      <c r="AB1212" s="1" t="s">
        <v>1917</v>
      </c>
      <c r="AC1212" s="1" t="s">
        <v>10</v>
      </c>
      <c r="AD1212" s="1" t="s">
        <v>13</v>
      </c>
      <c r="AE1212" s="1" t="s">
        <v>6</v>
      </c>
      <c r="AF1212" s="1" t="s">
        <v>5</v>
      </c>
      <c r="AG1212">
        <f t="shared" si="45"/>
        <v>0</v>
      </c>
    </row>
    <row r="1213" spans="27:33" hidden="1" x14ac:dyDescent="0.25">
      <c r="AA1213" t="s">
        <v>27</v>
      </c>
      <c r="AB1213" s="1" t="s">
        <v>1</v>
      </c>
      <c r="AC1213" s="1" t="s">
        <v>0</v>
      </c>
      <c r="AD1213" s="1" t="s">
        <v>11</v>
      </c>
      <c r="AE1213" s="1" t="s">
        <v>1914</v>
      </c>
      <c r="AF1213" s="1" t="s">
        <v>5</v>
      </c>
      <c r="AG1213">
        <f t="shared" si="45"/>
        <v>0</v>
      </c>
    </row>
    <row r="1214" spans="27:33" hidden="1" x14ac:dyDescent="0.25">
      <c r="AA1214" t="s">
        <v>2096</v>
      </c>
      <c r="AB1214" s="1" t="s">
        <v>1</v>
      </c>
      <c r="AC1214" s="1" t="s">
        <v>3</v>
      </c>
      <c r="AD1214" s="1" t="s">
        <v>9</v>
      </c>
      <c r="AE1214" s="1" t="s">
        <v>10</v>
      </c>
      <c r="AF1214" s="1" t="s">
        <v>1</v>
      </c>
      <c r="AG1214">
        <f t="shared" si="45"/>
        <v>0</v>
      </c>
    </row>
    <row r="1215" spans="27:33" hidden="1" x14ac:dyDescent="0.25">
      <c r="AA1215" t="s">
        <v>1876</v>
      </c>
      <c r="AB1215" s="1" t="s">
        <v>1919</v>
      </c>
      <c r="AC1215" s="1" t="s">
        <v>8</v>
      </c>
      <c r="AD1215" s="1" t="s">
        <v>11</v>
      </c>
      <c r="AE1215" s="1" t="s">
        <v>7</v>
      </c>
      <c r="AF1215" s="1" t="s">
        <v>5</v>
      </c>
      <c r="AG1215">
        <f t="shared" si="45"/>
        <v>0</v>
      </c>
    </row>
    <row r="1216" spans="27:33" hidden="1" x14ac:dyDescent="0.25">
      <c r="AA1216" t="s">
        <v>794</v>
      </c>
      <c r="AB1216" s="1" t="s">
        <v>1921</v>
      </c>
      <c r="AC1216" s="1" t="s">
        <v>8</v>
      </c>
      <c r="AD1216" s="1" t="s">
        <v>7</v>
      </c>
      <c r="AE1216" s="1" t="s">
        <v>11</v>
      </c>
      <c r="AF1216" s="1" t="s">
        <v>2</v>
      </c>
      <c r="AG1216">
        <f t="shared" si="45"/>
        <v>0</v>
      </c>
    </row>
    <row r="1217" spans="27:33" hidden="1" x14ac:dyDescent="0.25">
      <c r="AA1217" t="s">
        <v>934</v>
      </c>
      <c r="AB1217" s="1" t="s">
        <v>7</v>
      </c>
      <c r="AC1217" s="1" t="s">
        <v>11</v>
      </c>
      <c r="AD1217" s="1" t="s">
        <v>0</v>
      </c>
      <c r="AE1217" s="1" t="s">
        <v>1917</v>
      </c>
      <c r="AF1217" s="1" t="s">
        <v>11</v>
      </c>
      <c r="AG1217">
        <f t="shared" si="45"/>
        <v>0</v>
      </c>
    </row>
    <row r="1218" spans="27:33" hidden="1" x14ac:dyDescent="0.25">
      <c r="AA1218" t="s">
        <v>1520</v>
      </c>
      <c r="AB1218" s="1" t="s">
        <v>3</v>
      </c>
      <c r="AC1218" s="1" t="s">
        <v>8</v>
      </c>
      <c r="AD1218" s="1" t="s">
        <v>10</v>
      </c>
      <c r="AE1218" s="1" t="s">
        <v>6</v>
      </c>
      <c r="AF1218" s="1" t="s">
        <v>1</v>
      </c>
      <c r="AG1218">
        <f t="shared" si="45"/>
        <v>0</v>
      </c>
    </row>
    <row r="1219" spans="27:33" hidden="1" x14ac:dyDescent="0.25">
      <c r="AA1219" t="s">
        <v>2071</v>
      </c>
      <c r="AB1219" s="1" t="s">
        <v>11</v>
      </c>
      <c r="AC1219" s="1" t="s">
        <v>4</v>
      </c>
      <c r="AD1219" s="1" t="s">
        <v>10</v>
      </c>
      <c r="AE1219" s="1" t="s">
        <v>0</v>
      </c>
      <c r="AF1219" s="1" t="s">
        <v>5</v>
      </c>
      <c r="AG1219">
        <f t="shared" ref="AG1219:AG1282" si="46">IF(AND(Z1219&gt;0,Z1219&lt;7),AG1218+1,0)</f>
        <v>0</v>
      </c>
    </row>
    <row r="1220" spans="27:33" hidden="1" x14ac:dyDescent="0.25">
      <c r="AA1220" t="s">
        <v>171</v>
      </c>
      <c r="AB1220" s="1" t="s">
        <v>1914</v>
      </c>
      <c r="AC1220" s="1" t="s">
        <v>1</v>
      </c>
      <c r="AD1220" s="1" t="s">
        <v>6</v>
      </c>
      <c r="AE1220" s="1" t="s">
        <v>0</v>
      </c>
      <c r="AF1220" s="1" t="s">
        <v>5</v>
      </c>
      <c r="AG1220">
        <f t="shared" si="46"/>
        <v>0</v>
      </c>
    </row>
    <row r="1221" spans="27:33" hidden="1" x14ac:dyDescent="0.25">
      <c r="AA1221" t="s">
        <v>538</v>
      </c>
      <c r="AB1221" s="1" t="s">
        <v>1915</v>
      </c>
      <c r="AC1221" s="1" t="s">
        <v>10</v>
      </c>
      <c r="AD1221" s="1" t="s">
        <v>1923</v>
      </c>
      <c r="AE1221" s="1" t="s">
        <v>8</v>
      </c>
      <c r="AF1221" s="1" t="s">
        <v>11</v>
      </c>
      <c r="AG1221">
        <f t="shared" si="46"/>
        <v>0</v>
      </c>
    </row>
    <row r="1222" spans="27:33" hidden="1" x14ac:dyDescent="0.25">
      <c r="AA1222" t="s">
        <v>2255</v>
      </c>
      <c r="AB1222" s="1" t="s">
        <v>1920</v>
      </c>
      <c r="AC1222" s="1" t="s">
        <v>5</v>
      </c>
      <c r="AD1222" s="1" t="s">
        <v>2</v>
      </c>
      <c r="AE1222" s="1" t="s">
        <v>10</v>
      </c>
      <c r="AF1222" s="1" t="s">
        <v>7</v>
      </c>
      <c r="AG1222">
        <f t="shared" si="46"/>
        <v>0</v>
      </c>
    </row>
    <row r="1223" spans="27:33" hidden="1" x14ac:dyDescent="0.25">
      <c r="AA1223" t="s">
        <v>1368</v>
      </c>
      <c r="AB1223" s="1" t="s">
        <v>9</v>
      </c>
      <c r="AC1223" s="1" t="s">
        <v>5</v>
      </c>
      <c r="AD1223" s="1" t="s">
        <v>7</v>
      </c>
      <c r="AE1223" s="1" t="s">
        <v>1</v>
      </c>
      <c r="AF1223" s="1" t="s">
        <v>3</v>
      </c>
      <c r="AG1223">
        <f t="shared" si="46"/>
        <v>0</v>
      </c>
    </row>
    <row r="1224" spans="27:33" hidden="1" x14ac:dyDescent="0.25">
      <c r="AA1224" t="s">
        <v>1138</v>
      </c>
      <c r="AB1224" s="1" t="s">
        <v>13</v>
      </c>
      <c r="AC1224" s="1" t="s">
        <v>8</v>
      </c>
      <c r="AD1224" s="1" t="s">
        <v>4</v>
      </c>
      <c r="AE1224" s="1" t="s">
        <v>8</v>
      </c>
      <c r="AF1224" s="1" t="s">
        <v>5</v>
      </c>
      <c r="AG1224">
        <f t="shared" si="46"/>
        <v>0</v>
      </c>
    </row>
    <row r="1225" spans="27:33" hidden="1" x14ac:dyDescent="0.25">
      <c r="AA1225" t="s">
        <v>76</v>
      </c>
      <c r="AB1225" s="1" t="s">
        <v>1</v>
      </c>
      <c r="AC1225" s="1" t="s">
        <v>13</v>
      </c>
      <c r="AD1225" s="1" t="s">
        <v>10</v>
      </c>
      <c r="AE1225" s="1" t="s">
        <v>1915</v>
      </c>
      <c r="AF1225" s="1" t="s">
        <v>1</v>
      </c>
      <c r="AG1225">
        <f t="shared" si="46"/>
        <v>0</v>
      </c>
    </row>
    <row r="1226" spans="27:33" hidden="1" x14ac:dyDescent="0.25">
      <c r="AA1226" t="s">
        <v>199</v>
      </c>
      <c r="AB1226" s="1" t="s">
        <v>1914</v>
      </c>
      <c r="AC1226" s="1" t="s">
        <v>11</v>
      </c>
      <c r="AD1226" s="1" t="s">
        <v>7</v>
      </c>
      <c r="AE1226" s="1" t="s">
        <v>7</v>
      </c>
      <c r="AF1226" s="1" t="s">
        <v>5</v>
      </c>
      <c r="AG1226">
        <f t="shared" si="46"/>
        <v>0</v>
      </c>
    </row>
    <row r="1227" spans="27:33" hidden="1" x14ac:dyDescent="0.25">
      <c r="AA1227" t="s">
        <v>2025</v>
      </c>
      <c r="AB1227" s="1" t="s">
        <v>1</v>
      </c>
      <c r="AC1227" s="1" t="s">
        <v>1914</v>
      </c>
      <c r="AD1227" s="1" t="s">
        <v>1</v>
      </c>
      <c r="AE1227" s="1" t="s">
        <v>0</v>
      </c>
      <c r="AF1227" s="1" t="s">
        <v>5</v>
      </c>
      <c r="AG1227">
        <f t="shared" si="46"/>
        <v>0</v>
      </c>
    </row>
    <row r="1228" spans="27:33" hidden="1" x14ac:dyDescent="0.25">
      <c r="AA1228" t="s">
        <v>1090</v>
      </c>
      <c r="AB1228" s="1" t="s">
        <v>13</v>
      </c>
      <c r="AC1228" s="1" t="s">
        <v>10</v>
      </c>
      <c r="AD1228" s="1" t="s">
        <v>8</v>
      </c>
      <c r="AE1228" s="1" t="s">
        <v>3</v>
      </c>
      <c r="AF1228" s="1" t="s">
        <v>1</v>
      </c>
      <c r="AG1228">
        <f t="shared" si="46"/>
        <v>0</v>
      </c>
    </row>
    <row r="1229" spans="27:33" hidden="1" x14ac:dyDescent="0.25">
      <c r="AA1229" t="s">
        <v>580</v>
      </c>
      <c r="AB1229" s="1" t="s">
        <v>11</v>
      </c>
      <c r="AC1229" s="1" t="s">
        <v>13</v>
      </c>
      <c r="AD1229" s="1" t="s">
        <v>5</v>
      </c>
      <c r="AE1229" s="1" t="s">
        <v>15</v>
      </c>
      <c r="AF1229" s="1" t="s">
        <v>10</v>
      </c>
      <c r="AG1229">
        <f t="shared" si="46"/>
        <v>0</v>
      </c>
    </row>
    <row r="1230" spans="27:33" hidden="1" x14ac:dyDescent="0.25">
      <c r="AA1230" t="s">
        <v>1692</v>
      </c>
      <c r="AB1230" s="1" t="s">
        <v>4</v>
      </c>
      <c r="AC1230" s="1" t="s">
        <v>11</v>
      </c>
      <c r="AD1230" s="1" t="s">
        <v>6</v>
      </c>
      <c r="AE1230" s="1" t="s">
        <v>2</v>
      </c>
      <c r="AF1230" s="1" t="s">
        <v>1</v>
      </c>
      <c r="AG1230">
        <f t="shared" si="46"/>
        <v>0</v>
      </c>
    </row>
    <row r="1231" spans="27:33" hidden="1" x14ac:dyDescent="0.25">
      <c r="AA1231" t="s">
        <v>1777</v>
      </c>
      <c r="AB1231" s="1" t="s">
        <v>4</v>
      </c>
      <c r="AC1231" s="1" t="s">
        <v>3</v>
      </c>
      <c r="AD1231" s="1" t="s">
        <v>8</v>
      </c>
      <c r="AE1231" s="1" t="s">
        <v>1920</v>
      </c>
      <c r="AF1231" s="1" t="s">
        <v>1</v>
      </c>
      <c r="AG1231">
        <f t="shared" si="46"/>
        <v>0</v>
      </c>
    </row>
    <row r="1232" spans="27:33" hidden="1" x14ac:dyDescent="0.25">
      <c r="AA1232" t="s">
        <v>1889</v>
      </c>
      <c r="AB1232" s="1" t="s">
        <v>1918</v>
      </c>
      <c r="AC1232" s="1" t="s">
        <v>11</v>
      </c>
      <c r="AD1232" s="1" t="s">
        <v>2</v>
      </c>
      <c r="AE1232" s="1" t="s">
        <v>0</v>
      </c>
      <c r="AF1232" s="1" t="s">
        <v>1</v>
      </c>
      <c r="AG1232">
        <f t="shared" si="46"/>
        <v>0</v>
      </c>
    </row>
    <row r="1233" spans="27:33" hidden="1" x14ac:dyDescent="0.25">
      <c r="AA1233" t="s">
        <v>1940</v>
      </c>
      <c r="AB1233" s="1" t="s">
        <v>1</v>
      </c>
      <c r="AC1233" s="1" t="s">
        <v>1921</v>
      </c>
      <c r="AD1233" s="1" t="s">
        <v>8</v>
      </c>
      <c r="AE1233" s="1" t="s">
        <v>1</v>
      </c>
      <c r="AF1233" s="1" t="s">
        <v>2</v>
      </c>
      <c r="AG1233">
        <f t="shared" si="46"/>
        <v>0</v>
      </c>
    </row>
    <row r="1234" spans="27:33" hidden="1" x14ac:dyDescent="0.25">
      <c r="AA1234" t="s">
        <v>1048</v>
      </c>
      <c r="AB1234" s="1" t="s">
        <v>13</v>
      </c>
      <c r="AC1234" s="1" t="s">
        <v>11</v>
      </c>
      <c r="AD1234" s="1" t="s">
        <v>0</v>
      </c>
      <c r="AE1234" s="1" t="s">
        <v>1917</v>
      </c>
      <c r="AF1234" s="1" t="s">
        <v>1</v>
      </c>
      <c r="AG1234">
        <f t="shared" si="46"/>
        <v>0</v>
      </c>
    </row>
    <row r="1235" spans="27:33" hidden="1" x14ac:dyDescent="0.25">
      <c r="AA1235" t="s">
        <v>1232</v>
      </c>
      <c r="AB1235" s="1" t="s">
        <v>5</v>
      </c>
      <c r="AC1235" s="1" t="s">
        <v>3</v>
      </c>
      <c r="AD1235" s="1" t="s">
        <v>8</v>
      </c>
      <c r="AE1235" s="1" t="s">
        <v>15</v>
      </c>
      <c r="AF1235" s="1" t="s">
        <v>5</v>
      </c>
      <c r="AG1235">
        <f t="shared" si="46"/>
        <v>0</v>
      </c>
    </row>
    <row r="1236" spans="27:33" hidden="1" x14ac:dyDescent="0.25">
      <c r="AA1236" t="s">
        <v>1095</v>
      </c>
      <c r="AB1236" s="1" t="s">
        <v>13</v>
      </c>
      <c r="AC1236" s="1" t="s">
        <v>5</v>
      </c>
      <c r="AD1236" s="1" t="s">
        <v>0</v>
      </c>
      <c r="AE1236" s="1" t="s">
        <v>1917</v>
      </c>
      <c r="AF1236" s="1" t="s">
        <v>5</v>
      </c>
      <c r="AG1236">
        <f t="shared" si="46"/>
        <v>0</v>
      </c>
    </row>
    <row r="1237" spans="27:33" hidden="1" x14ac:dyDescent="0.25">
      <c r="AA1237" t="s">
        <v>106</v>
      </c>
      <c r="AB1237" s="1" t="s">
        <v>1</v>
      </c>
      <c r="AC1237" s="1" t="s">
        <v>9</v>
      </c>
      <c r="AD1237" s="1" t="s">
        <v>8</v>
      </c>
      <c r="AE1237" s="1" t="s">
        <v>3</v>
      </c>
      <c r="AF1237" s="1" t="s">
        <v>5</v>
      </c>
      <c r="AG1237">
        <f t="shared" si="46"/>
        <v>0</v>
      </c>
    </row>
    <row r="1238" spans="27:33" hidden="1" x14ac:dyDescent="0.25">
      <c r="AA1238" t="s">
        <v>1025</v>
      </c>
      <c r="AB1238" s="1" t="s">
        <v>13</v>
      </c>
      <c r="AC1238" s="1" t="s">
        <v>1</v>
      </c>
      <c r="AD1238" s="1" t="s">
        <v>6</v>
      </c>
      <c r="AE1238" s="1" t="s">
        <v>1921</v>
      </c>
      <c r="AF1238" s="1" t="s">
        <v>5</v>
      </c>
      <c r="AG1238">
        <f t="shared" si="46"/>
        <v>0</v>
      </c>
    </row>
    <row r="1239" spans="27:33" hidden="1" x14ac:dyDescent="0.25">
      <c r="AA1239" t="s">
        <v>458</v>
      </c>
      <c r="AB1239" s="1" t="s">
        <v>0</v>
      </c>
      <c r="AC1239" s="1" t="s">
        <v>5</v>
      </c>
      <c r="AD1239" s="1" t="s">
        <v>3</v>
      </c>
      <c r="AE1239" s="1" t="s">
        <v>1919</v>
      </c>
      <c r="AF1239" s="1" t="s">
        <v>1</v>
      </c>
      <c r="AG1239">
        <f t="shared" si="46"/>
        <v>0</v>
      </c>
    </row>
    <row r="1240" spans="27:33" hidden="1" x14ac:dyDescent="0.25">
      <c r="AA1240" t="s">
        <v>1213</v>
      </c>
      <c r="AB1240" s="1" t="s">
        <v>5</v>
      </c>
      <c r="AC1240" s="1" t="s">
        <v>14</v>
      </c>
      <c r="AD1240" s="1" t="s">
        <v>1</v>
      </c>
      <c r="AE1240" s="1" t="s">
        <v>9</v>
      </c>
      <c r="AF1240" s="1" t="s">
        <v>10</v>
      </c>
      <c r="AG1240">
        <f t="shared" si="46"/>
        <v>0</v>
      </c>
    </row>
    <row r="1241" spans="27:33" hidden="1" x14ac:dyDescent="0.25">
      <c r="AA1241" t="s">
        <v>899</v>
      </c>
      <c r="AB1241" s="1" t="s">
        <v>15</v>
      </c>
      <c r="AC1241" s="1" t="s">
        <v>8</v>
      </c>
      <c r="AD1241" s="1" t="s">
        <v>7</v>
      </c>
      <c r="AE1241" s="1" t="s">
        <v>10</v>
      </c>
      <c r="AF1241" s="1" t="s">
        <v>5</v>
      </c>
      <c r="AG1241">
        <f t="shared" si="46"/>
        <v>0</v>
      </c>
    </row>
    <row r="1242" spans="27:33" hidden="1" x14ac:dyDescent="0.25">
      <c r="AA1242" t="s">
        <v>480</v>
      </c>
      <c r="AB1242" s="1" t="s">
        <v>0</v>
      </c>
      <c r="AC1242" s="1" t="s">
        <v>3</v>
      </c>
      <c r="AD1242" s="1" t="s">
        <v>8</v>
      </c>
      <c r="AE1242" s="1" t="s">
        <v>0</v>
      </c>
      <c r="AF1242" s="1" t="s">
        <v>11</v>
      </c>
      <c r="AG1242">
        <f t="shared" si="46"/>
        <v>0</v>
      </c>
    </row>
    <row r="1243" spans="27:33" hidden="1" x14ac:dyDescent="0.25">
      <c r="AA1243" t="s">
        <v>1391</v>
      </c>
      <c r="AB1243" s="1" t="s">
        <v>9</v>
      </c>
      <c r="AC1243" s="1" t="s">
        <v>3</v>
      </c>
      <c r="AD1243" s="1" t="s">
        <v>11</v>
      </c>
      <c r="AE1243" s="1" t="s">
        <v>2</v>
      </c>
      <c r="AF1243" s="1" t="s">
        <v>5</v>
      </c>
      <c r="AG1243">
        <f t="shared" si="46"/>
        <v>0</v>
      </c>
    </row>
    <row r="1244" spans="27:33" hidden="1" x14ac:dyDescent="0.25">
      <c r="AA1244" t="s">
        <v>1242</v>
      </c>
      <c r="AB1244" s="1" t="s">
        <v>5</v>
      </c>
      <c r="AC1244" s="1" t="s">
        <v>1919</v>
      </c>
      <c r="AD1244" s="1" t="s">
        <v>11</v>
      </c>
      <c r="AE1244" s="1" t="s">
        <v>15</v>
      </c>
      <c r="AF1244" s="1" t="s">
        <v>1</v>
      </c>
      <c r="AG1244">
        <f t="shared" si="46"/>
        <v>0</v>
      </c>
    </row>
    <row r="1245" spans="27:33" hidden="1" x14ac:dyDescent="0.25">
      <c r="AA1245" t="s">
        <v>2289</v>
      </c>
      <c r="AB1245" s="1" t="s">
        <v>9</v>
      </c>
      <c r="AC1245" s="1" t="s">
        <v>5</v>
      </c>
      <c r="AD1245" s="1" t="s">
        <v>14</v>
      </c>
      <c r="AE1245" s="1" t="s">
        <v>11</v>
      </c>
      <c r="AF1245" s="1" t="s">
        <v>3</v>
      </c>
      <c r="AG1245">
        <f t="shared" si="46"/>
        <v>0</v>
      </c>
    </row>
    <row r="1246" spans="27:33" hidden="1" x14ac:dyDescent="0.25">
      <c r="AA1246" t="s">
        <v>2059</v>
      </c>
      <c r="AB1246" s="1" t="s">
        <v>0</v>
      </c>
      <c r="AC1246" s="1" t="s">
        <v>8</v>
      </c>
      <c r="AD1246" s="1" t="s">
        <v>9</v>
      </c>
      <c r="AE1246" s="1" t="s">
        <v>7</v>
      </c>
      <c r="AF1246" s="1" t="s">
        <v>11</v>
      </c>
      <c r="AG1246">
        <f t="shared" si="46"/>
        <v>0</v>
      </c>
    </row>
    <row r="1247" spans="27:33" hidden="1" x14ac:dyDescent="0.25">
      <c r="AA1247" t="s">
        <v>2164</v>
      </c>
      <c r="AB1247" s="1" t="s">
        <v>9</v>
      </c>
      <c r="AC1247" s="1" t="s">
        <v>10</v>
      </c>
      <c r="AD1247" s="1" t="s">
        <v>1922</v>
      </c>
      <c r="AE1247" s="1" t="s">
        <v>11</v>
      </c>
      <c r="AF1247" s="1" t="s">
        <v>7</v>
      </c>
      <c r="AG1247">
        <f t="shared" si="46"/>
        <v>0</v>
      </c>
    </row>
    <row r="1248" spans="27:33" hidden="1" x14ac:dyDescent="0.25">
      <c r="AA1248" t="s">
        <v>1266</v>
      </c>
      <c r="AB1248" s="1" t="s">
        <v>9</v>
      </c>
      <c r="AC1248" s="1" t="s">
        <v>1</v>
      </c>
      <c r="AD1248" s="1" t="s">
        <v>3</v>
      </c>
      <c r="AE1248" s="1" t="s">
        <v>1</v>
      </c>
      <c r="AF1248" s="1" t="s">
        <v>3</v>
      </c>
      <c r="AG1248">
        <f t="shared" si="46"/>
        <v>0</v>
      </c>
    </row>
    <row r="1249" spans="27:33" hidden="1" x14ac:dyDescent="0.25">
      <c r="AA1249" t="s">
        <v>2114</v>
      </c>
      <c r="AB1249" s="1" t="s">
        <v>10</v>
      </c>
      <c r="AC1249" s="1" t="s">
        <v>1915</v>
      </c>
      <c r="AD1249" s="1" t="s">
        <v>5</v>
      </c>
      <c r="AE1249" s="1" t="s">
        <v>7</v>
      </c>
      <c r="AF1249" s="1" t="s">
        <v>5</v>
      </c>
      <c r="AG1249">
        <f t="shared" si="46"/>
        <v>0</v>
      </c>
    </row>
    <row r="1250" spans="27:33" hidden="1" x14ac:dyDescent="0.25">
      <c r="AA1250" t="s">
        <v>2060</v>
      </c>
      <c r="AB1250" s="1" t="s">
        <v>2</v>
      </c>
      <c r="AC1250" s="1" t="s">
        <v>1</v>
      </c>
      <c r="AD1250" s="1" t="s">
        <v>4</v>
      </c>
      <c r="AE1250" s="1" t="s">
        <v>11</v>
      </c>
      <c r="AF1250" s="1" t="s">
        <v>6</v>
      </c>
      <c r="AG1250">
        <f t="shared" si="46"/>
        <v>0</v>
      </c>
    </row>
    <row r="1251" spans="27:33" hidden="1" x14ac:dyDescent="0.25">
      <c r="AA1251" t="s">
        <v>189</v>
      </c>
      <c r="AB1251" s="1" t="s">
        <v>1914</v>
      </c>
      <c r="AC1251" s="1" t="s">
        <v>1</v>
      </c>
      <c r="AD1251" s="1" t="s">
        <v>4</v>
      </c>
      <c r="AE1251" s="1" t="s">
        <v>10</v>
      </c>
      <c r="AF1251" s="1" t="s">
        <v>3</v>
      </c>
      <c r="AG1251">
        <f t="shared" si="46"/>
        <v>0</v>
      </c>
    </row>
    <row r="1252" spans="27:33" hidden="1" x14ac:dyDescent="0.25">
      <c r="AA1252" t="s">
        <v>907</v>
      </c>
      <c r="AB1252" s="1" t="s">
        <v>15</v>
      </c>
      <c r="AC1252" s="1" t="s">
        <v>8</v>
      </c>
      <c r="AD1252" s="1" t="s">
        <v>2</v>
      </c>
      <c r="AE1252" s="1" t="s">
        <v>4</v>
      </c>
      <c r="AF1252" s="1" t="s">
        <v>5</v>
      </c>
      <c r="AG1252">
        <f t="shared" si="46"/>
        <v>0</v>
      </c>
    </row>
    <row r="1253" spans="27:33" hidden="1" x14ac:dyDescent="0.25">
      <c r="AA1253" t="s">
        <v>160</v>
      </c>
      <c r="AB1253" s="1" t="s">
        <v>1914</v>
      </c>
      <c r="AC1253" s="1" t="s">
        <v>1</v>
      </c>
      <c r="AD1253" s="1" t="s">
        <v>10</v>
      </c>
      <c r="AE1253" s="1" t="s">
        <v>7</v>
      </c>
      <c r="AF1253" s="1" t="s">
        <v>11</v>
      </c>
      <c r="AG1253">
        <f t="shared" si="46"/>
        <v>0</v>
      </c>
    </row>
    <row r="1254" spans="27:33" hidden="1" x14ac:dyDescent="0.25">
      <c r="AA1254" t="s">
        <v>2150</v>
      </c>
      <c r="AB1254" s="1" t="s">
        <v>11</v>
      </c>
      <c r="AC1254" s="1" t="s">
        <v>2</v>
      </c>
      <c r="AD1254" s="1" t="s">
        <v>9</v>
      </c>
      <c r="AE1254" s="1" t="s">
        <v>10</v>
      </c>
      <c r="AF1254" s="1" t="s">
        <v>1</v>
      </c>
      <c r="AG1254">
        <f t="shared" si="46"/>
        <v>0</v>
      </c>
    </row>
    <row r="1255" spans="27:33" hidden="1" x14ac:dyDescent="0.25">
      <c r="AA1255" t="s">
        <v>576</v>
      </c>
      <c r="AB1255" s="1" t="s">
        <v>11</v>
      </c>
      <c r="AC1255" s="1" t="s">
        <v>1915</v>
      </c>
      <c r="AD1255" s="1" t="s">
        <v>11</v>
      </c>
      <c r="AE1255" s="1" t="s">
        <v>13</v>
      </c>
      <c r="AF1255" s="1" t="s">
        <v>1</v>
      </c>
      <c r="AG1255">
        <f t="shared" si="46"/>
        <v>0</v>
      </c>
    </row>
    <row r="1256" spans="27:33" hidden="1" x14ac:dyDescent="0.25">
      <c r="AA1256" t="s">
        <v>897</v>
      </c>
      <c r="AB1256" s="1" t="s">
        <v>15</v>
      </c>
      <c r="AC1256" s="1" t="s">
        <v>8</v>
      </c>
      <c r="AD1256" s="1" t="s">
        <v>11</v>
      </c>
      <c r="AE1256" s="1" t="s">
        <v>12</v>
      </c>
      <c r="AF1256" s="1" t="s">
        <v>1</v>
      </c>
      <c r="AG1256">
        <f t="shared" si="46"/>
        <v>0</v>
      </c>
    </row>
    <row r="1257" spans="27:33" hidden="1" x14ac:dyDescent="0.25">
      <c r="AA1257" t="s">
        <v>1539</v>
      </c>
      <c r="AB1257" s="1" t="s">
        <v>2</v>
      </c>
      <c r="AC1257" s="1" t="s">
        <v>1</v>
      </c>
      <c r="AD1257" s="1" t="s">
        <v>7</v>
      </c>
      <c r="AE1257" s="1" t="s">
        <v>10</v>
      </c>
      <c r="AF1257" s="1" t="s">
        <v>3</v>
      </c>
      <c r="AG1257">
        <f t="shared" si="46"/>
        <v>0</v>
      </c>
    </row>
    <row r="1258" spans="27:33" hidden="1" x14ac:dyDescent="0.25">
      <c r="AA1258" t="s">
        <v>254</v>
      </c>
      <c r="AB1258" s="1" t="s">
        <v>1914</v>
      </c>
      <c r="AC1258" s="1" t="s">
        <v>3</v>
      </c>
      <c r="AD1258" s="1" t="s">
        <v>5</v>
      </c>
      <c r="AE1258" s="1" t="s">
        <v>0</v>
      </c>
      <c r="AF1258" s="1" t="s">
        <v>1</v>
      </c>
      <c r="AG1258">
        <f t="shared" si="46"/>
        <v>0</v>
      </c>
    </row>
    <row r="1259" spans="27:33" hidden="1" x14ac:dyDescent="0.25">
      <c r="AA1259" t="s">
        <v>2275</v>
      </c>
      <c r="AB1259" s="1" t="s">
        <v>3</v>
      </c>
      <c r="AC1259" s="1" t="s">
        <v>5</v>
      </c>
      <c r="AD1259" s="1" t="s">
        <v>12</v>
      </c>
      <c r="AE1259" s="1" t="s">
        <v>5</v>
      </c>
      <c r="AF1259" s="1" t="s">
        <v>6</v>
      </c>
      <c r="AG1259">
        <f t="shared" si="46"/>
        <v>0</v>
      </c>
    </row>
    <row r="1260" spans="27:33" hidden="1" x14ac:dyDescent="0.25">
      <c r="AA1260" t="s">
        <v>1156</v>
      </c>
      <c r="AB1260" s="1" t="s">
        <v>6</v>
      </c>
      <c r="AC1260" s="1" t="s">
        <v>11</v>
      </c>
      <c r="AD1260" s="1" t="s">
        <v>1921</v>
      </c>
      <c r="AE1260" s="1" t="s">
        <v>1</v>
      </c>
      <c r="AF1260" s="1" t="s">
        <v>3</v>
      </c>
      <c r="AG1260">
        <f t="shared" si="46"/>
        <v>0</v>
      </c>
    </row>
    <row r="1261" spans="27:33" hidden="1" x14ac:dyDescent="0.25">
      <c r="AA1261" t="s">
        <v>989</v>
      </c>
      <c r="AB1261" s="1" t="s">
        <v>7</v>
      </c>
      <c r="AC1261" s="1" t="s">
        <v>8</v>
      </c>
      <c r="AD1261" s="1" t="s">
        <v>0</v>
      </c>
      <c r="AE1261" s="1" t="s">
        <v>1917</v>
      </c>
      <c r="AF1261" s="1" t="s">
        <v>1</v>
      </c>
      <c r="AG1261">
        <f t="shared" si="46"/>
        <v>0</v>
      </c>
    </row>
    <row r="1262" spans="27:33" hidden="1" x14ac:dyDescent="0.25">
      <c r="AA1262" t="s">
        <v>949</v>
      </c>
      <c r="AB1262" s="1" t="s">
        <v>7</v>
      </c>
      <c r="AC1262" s="1" t="s">
        <v>10</v>
      </c>
      <c r="AD1262" s="1" t="s">
        <v>1</v>
      </c>
      <c r="AE1262" s="1" t="s">
        <v>6</v>
      </c>
      <c r="AF1262" s="1" t="s">
        <v>1</v>
      </c>
      <c r="AG1262">
        <f t="shared" si="46"/>
        <v>0</v>
      </c>
    </row>
    <row r="1263" spans="27:33" hidden="1" x14ac:dyDescent="0.25">
      <c r="AA1263" t="s">
        <v>1962</v>
      </c>
      <c r="AB1263" s="1" t="s">
        <v>14</v>
      </c>
      <c r="AC1263" s="1" t="s">
        <v>10</v>
      </c>
      <c r="AD1263" s="1" t="s">
        <v>7</v>
      </c>
      <c r="AE1263" s="1" t="s">
        <v>5</v>
      </c>
      <c r="AF1263" s="1" t="s">
        <v>2</v>
      </c>
      <c r="AG1263">
        <f t="shared" si="46"/>
        <v>0</v>
      </c>
    </row>
    <row r="1264" spans="27:33" hidden="1" x14ac:dyDescent="0.25">
      <c r="AA1264" t="s">
        <v>2223</v>
      </c>
      <c r="AB1264" s="1" t="s">
        <v>1920</v>
      </c>
      <c r="AC1264" s="1" t="s">
        <v>10</v>
      </c>
      <c r="AD1264" s="1" t="s">
        <v>7</v>
      </c>
      <c r="AE1264" s="1" t="s">
        <v>5</v>
      </c>
      <c r="AF1264" s="1" t="s">
        <v>6</v>
      </c>
      <c r="AG1264">
        <f t="shared" si="46"/>
        <v>0</v>
      </c>
    </row>
    <row r="1265" spans="27:33" hidden="1" x14ac:dyDescent="0.25">
      <c r="AA1265" t="s">
        <v>2169</v>
      </c>
      <c r="AB1265" s="1" t="s">
        <v>7</v>
      </c>
      <c r="AC1265" s="1" t="s">
        <v>11</v>
      </c>
      <c r="AD1265" s="1" t="s">
        <v>15</v>
      </c>
      <c r="AE1265" s="1" t="s">
        <v>10</v>
      </c>
      <c r="AF1265" s="1" t="s">
        <v>1</v>
      </c>
      <c r="AG1265">
        <f t="shared" si="46"/>
        <v>0</v>
      </c>
    </row>
    <row r="1266" spans="27:33" hidden="1" x14ac:dyDescent="0.25">
      <c r="AA1266" t="s">
        <v>1337</v>
      </c>
      <c r="AB1266" s="1" t="s">
        <v>9</v>
      </c>
      <c r="AC1266" s="1" t="s">
        <v>10</v>
      </c>
      <c r="AD1266" s="1" t="s">
        <v>3</v>
      </c>
      <c r="AE1266" s="1" t="s">
        <v>1</v>
      </c>
      <c r="AF1266" s="1" t="s">
        <v>3</v>
      </c>
      <c r="AG1266">
        <f t="shared" si="46"/>
        <v>0</v>
      </c>
    </row>
    <row r="1267" spans="27:33" hidden="1" x14ac:dyDescent="0.25">
      <c r="AA1267" t="s">
        <v>2199</v>
      </c>
      <c r="AB1267" s="1" t="s">
        <v>9</v>
      </c>
      <c r="AC1267" s="1" t="s">
        <v>5</v>
      </c>
      <c r="AD1267" s="1" t="s">
        <v>6</v>
      </c>
      <c r="AE1267" s="1" t="s">
        <v>11</v>
      </c>
      <c r="AF1267" s="1" t="s">
        <v>1918</v>
      </c>
      <c r="AG1267">
        <f t="shared" si="46"/>
        <v>0</v>
      </c>
    </row>
    <row r="1268" spans="27:33" hidden="1" x14ac:dyDescent="0.25">
      <c r="AA1268" t="s">
        <v>464</v>
      </c>
      <c r="AB1268" s="1" t="s">
        <v>0</v>
      </c>
      <c r="AC1268" s="1" t="s">
        <v>5</v>
      </c>
      <c r="AD1268" s="1" t="s">
        <v>1922</v>
      </c>
      <c r="AE1268" s="1" t="s">
        <v>10</v>
      </c>
      <c r="AF1268" s="1" t="s">
        <v>2</v>
      </c>
      <c r="AG1268">
        <f t="shared" si="46"/>
        <v>0</v>
      </c>
    </row>
    <row r="1269" spans="27:33" hidden="1" x14ac:dyDescent="0.25">
      <c r="AA1269" t="s">
        <v>1066</v>
      </c>
      <c r="AB1269" s="1" t="s">
        <v>13</v>
      </c>
      <c r="AC1269" s="1" t="s">
        <v>11</v>
      </c>
      <c r="AD1269" s="1" t="s">
        <v>2</v>
      </c>
      <c r="AE1269" s="1" t="s">
        <v>4</v>
      </c>
      <c r="AF1269" s="1" t="s">
        <v>1</v>
      </c>
      <c r="AG1269">
        <f t="shared" si="46"/>
        <v>0</v>
      </c>
    </row>
    <row r="1270" spans="27:33" hidden="1" x14ac:dyDescent="0.25">
      <c r="AA1270" t="s">
        <v>1015</v>
      </c>
      <c r="AB1270" s="1" t="s">
        <v>13</v>
      </c>
      <c r="AC1270" s="1" t="s">
        <v>1</v>
      </c>
      <c r="AD1270" s="1" t="s">
        <v>7</v>
      </c>
      <c r="AE1270" s="1" t="s">
        <v>1919</v>
      </c>
      <c r="AF1270" s="1" t="s">
        <v>1</v>
      </c>
      <c r="AG1270">
        <f t="shared" si="46"/>
        <v>0</v>
      </c>
    </row>
    <row r="1271" spans="27:33" hidden="1" x14ac:dyDescent="0.25">
      <c r="AA1271" t="s">
        <v>1949</v>
      </c>
      <c r="AB1271" s="1" t="s">
        <v>1914</v>
      </c>
      <c r="AC1271" s="1" t="s">
        <v>1</v>
      </c>
      <c r="AD1271" s="1" t="s">
        <v>1916</v>
      </c>
      <c r="AE1271" s="1" t="s">
        <v>5</v>
      </c>
      <c r="AF1271" s="1" t="s">
        <v>2</v>
      </c>
      <c r="AG1271">
        <f t="shared" si="46"/>
        <v>0</v>
      </c>
    </row>
    <row r="1272" spans="27:33" hidden="1" x14ac:dyDescent="0.25">
      <c r="AA1272" t="s">
        <v>465</v>
      </c>
      <c r="AB1272" s="1" t="s">
        <v>0</v>
      </c>
      <c r="AC1272" s="1" t="s">
        <v>3</v>
      </c>
      <c r="AD1272" s="1" t="s">
        <v>1</v>
      </c>
      <c r="AE1272" s="1" t="s">
        <v>0</v>
      </c>
      <c r="AF1272" s="1" t="s">
        <v>14</v>
      </c>
      <c r="AG1272">
        <f t="shared" si="46"/>
        <v>0</v>
      </c>
    </row>
    <row r="1273" spans="27:33" hidden="1" x14ac:dyDescent="0.25">
      <c r="AA1273" t="s">
        <v>118</v>
      </c>
      <c r="AB1273" s="1" t="s">
        <v>1</v>
      </c>
      <c r="AC1273" s="1" t="s">
        <v>3</v>
      </c>
      <c r="AD1273" s="1" t="s">
        <v>1921</v>
      </c>
      <c r="AE1273" s="1" t="s">
        <v>5</v>
      </c>
      <c r="AF1273" s="1" t="s">
        <v>4</v>
      </c>
      <c r="AG1273">
        <f t="shared" si="46"/>
        <v>0</v>
      </c>
    </row>
    <row r="1274" spans="27:33" hidden="1" x14ac:dyDescent="0.25">
      <c r="AA1274" t="s">
        <v>1678</v>
      </c>
      <c r="AB1274" s="1" t="s">
        <v>4</v>
      </c>
      <c r="AC1274" s="1" t="s">
        <v>11</v>
      </c>
      <c r="AD1274" s="1" t="s">
        <v>1914</v>
      </c>
      <c r="AE1274" s="1" t="s">
        <v>11</v>
      </c>
      <c r="AF1274" s="1" t="s">
        <v>5</v>
      </c>
      <c r="AG1274">
        <f t="shared" si="46"/>
        <v>0</v>
      </c>
    </row>
    <row r="1275" spans="27:33" hidden="1" x14ac:dyDescent="0.25">
      <c r="AA1275" t="s">
        <v>241</v>
      </c>
      <c r="AB1275" s="1" t="s">
        <v>1914</v>
      </c>
      <c r="AC1275" s="1" t="s">
        <v>3</v>
      </c>
      <c r="AD1275" s="1" t="s">
        <v>1</v>
      </c>
      <c r="AE1275" s="1" t="s">
        <v>1921</v>
      </c>
      <c r="AF1275" s="1" t="s">
        <v>1</v>
      </c>
      <c r="AG1275">
        <f t="shared" si="46"/>
        <v>0</v>
      </c>
    </row>
    <row r="1276" spans="27:33" hidden="1" x14ac:dyDescent="0.25">
      <c r="AA1276" t="s">
        <v>1290</v>
      </c>
      <c r="AB1276" s="1" t="s">
        <v>9</v>
      </c>
      <c r="AC1276" s="1" t="s">
        <v>1</v>
      </c>
      <c r="AD1276" s="1" t="s">
        <v>1919</v>
      </c>
      <c r="AE1276" s="1" t="s">
        <v>5</v>
      </c>
      <c r="AF1276" s="1" t="s">
        <v>3</v>
      </c>
      <c r="AG1276">
        <f t="shared" si="46"/>
        <v>0</v>
      </c>
    </row>
    <row r="1277" spans="27:33" hidden="1" x14ac:dyDescent="0.25">
      <c r="AA1277" t="s">
        <v>2031</v>
      </c>
      <c r="AB1277" s="1" t="s">
        <v>1</v>
      </c>
      <c r="AC1277" s="1" t="s">
        <v>1921</v>
      </c>
      <c r="AD1277" s="1" t="s">
        <v>5</v>
      </c>
      <c r="AE1277" s="1" t="s">
        <v>3</v>
      </c>
      <c r="AF1277" s="1" t="s">
        <v>1</v>
      </c>
      <c r="AG1277">
        <f t="shared" si="46"/>
        <v>0</v>
      </c>
    </row>
    <row r="1278" spans="27:33" hidden="1" x14ac:dyDescent="0.25">
      <c r="AA1278" t="s">
        <v>1334</v>
      </c>
      <c r="AB1278" s="1" t="s">
        <v>9</v>
      </c>
      <c r="AC1278" s="1" t="s">
        <v>10</v>
      </c>
      <c r="AD1278" s="1" t="s">
        <v>6</v>
      </c>
      <c r="AE1278" s="1" t="s">
        <v>12</v>
      </c>
      <c r="AF1278" s="1" t="s">
        <v>1</v>
      </c>
      <c r="AG1278">
        <f t="shared" si="46"/>
        <v>0</v>
      </c>
    </row>
    <row r="1279" spans="27:33" hidden="1" x14ac:dyDescent="0.25">
      <c r="AA1279" t="s">
        <v>2132</v>
      </c>
      <c r="AB1279" s="1" t="s">
        <v>13</v>
      </c>
      <c r="AC1279" s="1" t="s">
        <v>1</v>
      </c>
      <c r="AD1279" s="1" t="s">
        <v>5</v>
      </c>
      <c r="AE1279" s="1" t="s">
        <v>3</v>
      </c>
      <c r="AF1279" s="1" t="s">
        <v>10</v>
      </c>
      <c r="AG1279">
        <f t="shared" si="46"/>
        <v>0</v>
      </c>
    </row>
    <row r="1280" spans="27:33" hidden="1" x14ac:dyDescent="0.25">
      <c r="AA1280" t="s">
        <v>133</v>
      </c>
      <c r="AB1280" s="1" t="s">
        <v>1</v>
      </c>
      <c r="AC1280" s="1" t="s">
        <v>4</v>
      </c>
      <c r="AD1280" s="1" t="s">
        <v>1</v>
      </c>
      <c r="AE1280" s="1" t="s">
        <v>15</v>
      </c>
      <c r="AF1280" s="1" t="s">
        <v>5</v>
      </c>
      <c r="AG1280">
        <f t="shared" si="46"/>
        <v>0</v>
      </c>
    </row>
    <row r="1281" spans="27:33" hidden="1" x14ac:dyDescent="0.25">
      <c r="AA1281" t="s">
        <v>1836</v>
      </c>
      <c r="AB1281" s="1" t="s">
        <v>1919</v>
      </c>
      <c r="AC1281" s="1" t="s">
        <v>11</v>
      </c>
      <c r="AD1281" s="1" t="s">
        <v>3</v>
      </c>
      <c r="AE1281" s="1" t="s">
        <v>1915</v>
      </c>
      <c r="AF1281" s="1" t="s">
        <v>11</v>
      </c>
      <c r="AG1281">
        <f t="shared" si="46"/>
        <v>0</v>
      </c>
    </row>
    <row r="1282" spans="27:33" hidden="1" x14ac:dyDescent="0.25">
      <c r="AA1282" t="s">
        <v>1655</v>
      </c>
      <c r="AB1282" s="1" t="s">
        <v>4</v>
      </c>
      <c r="AC1282" s="1" t="s">
        <v>1</v>
      </c>
      <c r="AD1282" s="1" t="s">
        <v>13</v>
      </c>
      <c r="AE1282" s="1" t="s">
        <v>10</v>
      </c>
      <c r="AF1282" s="1" t="s">
        <v>12</v>
      </c>
      <c r="AG1282">
        <f t="shared" si="46"/>
        <v>0</v>
      </c>
    </row>
    <row r="1283" spans="27:33" hidden="1" x14ac:dyDescent="0.25">
      <c r="AA1283" t="s">
        <v>2162</v>
      </c>
      <c r="AB1283" s="1" t="s">
        <v>5</v>
      </c>
      <c r="AC1283" s="1" t="s">
        <v>10</v>
      </c>
      <c r="AD1283" s="1" t="s">
        <v>1914</v>
      </c>
      <c r="AE1283" s="1" t="s">
        <v>7</v>
      </c>
      <c r="AF1283" s="1" t="s">
        <v>11</v>
      </c>
      <c r="AG1283">
        <f t="shared" ref="AG1283:AG1346" si="47">IF(AND(Z1283&gt;0,Z1283&lt;7),AG1282+1,0)</f>
        <v>0</v>
      </c>
    </row>
    <row r="1284" spans="27:33" hidden="1" x14ac:dyDescent="0.25">
      <c r="AA1284" t="s">
        <v>1898</v>
      </c>
      <c r="AB1284" s="1" t="s">
        <v>12</v>
      </c>
      <c r="AC1284" s="1" t="s">
        <v>1</v>
      </c>
      <c r="AD1284" s="1" t="s">
        <v>13</v>
      </c>
      <c r="AE1284" s="1" t="s">
        <v>1914</v>
      </c>
      <c r="AF1284" s="1" t="s">
        <v>1</v>
      </c>
      <c r="AG1284">
        <f t="shared" si="47"/>
        <v>0</v>
      </c>
    </row>
    <row r="1285" spans="27:33" hidden="1" x14ac:dyDescent="0.25">
      <c r="AA1285" t="s">
        <v>46</v>
      </c>
      <c r="AB1285" s="1" t="s">
        <v>1</v>
      </c>
      <c r="AC1285" s="1" t="s">
        <v>1917</v>
      </c>
      <c r="AD1285" s="1" t="s">
        <v>5</v>
      </c>
      <c r="AE1285" s="1" t="s">
        <v>3</v>
      </c>
      <c r="AF1285" s="1" t="s">
        <v>1</v>
      </c>
      <c r="AG1285">
        <f t="shared" si="47"/>
        <v>0</v>
      </c>
    </row>
    <row r="1286" spans="27:33" hidden="1" x14ac:dyDescent="0.25">
      <c r="AA1286" t="s">
        <v>460</v>
      </c>
      <c r="AB1286" s="1" t="s">
        <v>0</v>
      </c>
      <c r="AC1286" s="1" t="s">
        <v>5</v>
      </c>
      <c r="AD1286" s="1" t="s">
        <v>2</v>
      </c>
      <c r="AE1286" s="1" t="s">
        <v>11</v>
      </c>
      <c r="AF1286" s="1" t="s">
        <v>3</v>
      </c>
      <c r="AG1286">
        <f t="shared" si="47"/>
        <v>0</v>
      </c>
    </row>
    <row r="1287" spans="27:33" hidden="1" x14ac:dyDescent="0.25">
      <c r="AA1287" t="s">
        <v>1331</v>
      </c>
      <c r="AB1287" s="1" t="s">
        <v>9</v>
      </c>
      <c r="AC1287" s="1" t="s">
        <v>10</v>
      </c>
      <c r="AD1287" s="1" t="s">
        <v>6</v>
      </c>
      <c r="AE1287" s="1" t="s">
        <v>1</v>
      </c>
      <c r="AF1287" s="1" t="s">
        <v>3</v>
      </c>
      <c r="AG1287">
        <f t="shared" si="47"/>
        <v>0</v>
      </c>
    </row>
    <row r="1288" spans="27:33" hidden="1" x14ac:dyDescent="0.25">
      <c r="AA1288" t="s">
        <v>2298</v>
      </c>
      <c r="AB1288" s="1" t="s">
        <v>8</v>
      </c>
      <c r="AC1288" s="1" t="s">
        <v>6</v>
      </c>
      <c r="AD1288" s="1" t="s">
        <v>10</v>
      </c>
      <c r="AE1288" s="1" t="s">
        <v>0</v>
      </c>
      <c r="AF1288" s="1" t="s">
        <v>5</v>
      </c>
      <c r="AG1288">
        <f t="shared" si="47"/>
        <v>0</v>
      </c>
    </row>
    <row r="1289" spans="27:33" hidden="1" x14ac:dyDescent="0.25">
      <c r="AA1289" t="s">
        <v>2029</v>
      </c>
      <c r="AB1289" s="1" t="s">
        <v>1</v>
      </c>
      <c r="AC1289" s="1" t="s">
        <v>8</v>
      </c>
      <c r="AD1289" s="1" t="s">
        <v>3</v>
      </c>
      <c r="AE1289" s="1" t="s">
        <v>11</v>
      </c>
      <c r="AF1289" s="1" t="s">
        <v>1</v>
      </c>
      <c r="AG1289">
        <f t="shared" si="47"/>
        <v>0</v>
      </c>
    </row>
    <row r="1290" spans="27:33" hidden="1" x14ac:dyDescent="0.25">
      <c r="AA1290" t="s">
        <v>2134</v>
      </c>
      <c r="AB1290" s="1" t="s">
        <v>13</v>
      </c>
      <c r="AC1290" s="1" t="s">
        <v>5</v>
      </c>
      <c r="AD1290" s="1" t="s">
        <v>4</v>
      </c>
      <c r="AE1290" s="1" t="s">
        <v>10</v>
      </c>
      <c r="AF1290" s="1" t="s">
        <v>6</v>
      </c>
      <c r="AG1290">
        <f t="shared" si="47"/>
        <v>0</v>
      </c>
    </row>
    <row r="1291" spans="27:33" hidden="1" x14ac:dyDescent="0.25">
      <c r="AA1291" t="s">
        <v>224</v>
      </c>
      <c r="AB1291" s="1" t="s">
        <v>1914</v>
      </c>
      <c r="AC1291" s="1" t="s">
        <v>5</v>
      </c>
      <c r="AD1291" s="1" t="s">
        <v>10</v>
      </c>
      <c r="AE1291" s="1" t="s">
        <v>6</v>
      </c>
      <c r="AF1291" s="1" t="s">
        <v>1</v>
      </c>
      <c r="AG1291">
        <f t="shared" si="47"/>
        <v>0</v>
      </c>
    </row>
    <row r="1292" spans="27:33" hidden="1" x14ac:dyDescent="0.25">
      <c r="AA1292" t="s">
        <v>1100</v>
      </c>
      <c r="AB1292" s="1" t="s">
        <v>13</v>
      </c>
      <c r="AC1292" s="1" t="s">
        <v>5</v>
      </c>
      <c r="AD1292" s="1" t="s">
        <v>7</v>
      </c>
      <c r="AE1292" s="1" t="s">
        <v>1915</v>
      </c>
      <c r="AF1292" s="1" t="s">
        <v>11</v>
      </c>
      <c r="AG1292">
        <f t="shared" si="47"/>
        <v>0</v>
      </c>
    </row>
    <row r="1293" spans="27:33" hidden="1" x14ac:dyDescent="0.25">
      <c r="AA1293" t="s">
        <v>1324</v>
      </c>
      <c r="AB1293" s="1" t="s">
        <v>9</v>
      </c>
      <c r="AC1293" s="1" t="s">
        <v>10</v>
      </c>
      <c r="AD1293" s="1" t="s">
        <v>0</v>
      </c>
      <c r="AE1293" s="1" t="s">
        <v>10</v>
      </c>
      <c r="AF1293" s="1" t="s">
        <v>1</v>
      </c>
      <c r="AG1293">
        <f t="shared" si="47"/>
        <v>0</v>
      </c>
    </row>
    <row r="1294" spans="27:33" hidden="1" x14ac:dyDescent="0.25">
      <c r="AA1294" t="s">
        <v>2037</v>
      </c>
      <c r="AB1294" s="1" t="s">
        <v>1</v>
      </c>
      <c r="AC1294" s="1" t="s">
        <v>4</v>
      </c>
      <c r="AD1294" s="1" t="s">
        <v>5</v>
      </c>
      <c r="AE1294" s="1" t="s">
        <v>6</v>
      </c>
      <c r="AF1294" s="1" t="s">
        <v>1</v>
      </c>
      <c r="AG1294">
        <f t="shared" si="47"/>
        <v>0</v>
      </c>
    </row>
    <row r="1295" spans="27:33" hidden="1" x14ac:dyDescent="0.25">
      <c r="AA1295" t="s">
        <v>2172</v>
      </c>
      <c r="AB1295" s="1" t="s">
        <v>1915</v>
      </c>
      <c r="AC1295" s="1" t="s">
        <v>5</v>
      </c>
      <c r="AD1295" s="1" t="s">
        <v>0</v>
      </c>
      <c r="AE1295" s="1" t="s">
        <v>10</v>
      </c>
      <c r="AF1295" s="1" t="s">
        <v>7</v>
      </c>
      <c r="AG1295">
        <f t="shared" si="47"/>
        <v>0</v>
      </c>
    </row>
    <row r="1296" spans="27:33" hidden="1" x14ac:dyDescent="0.25">
      <c r="AA1296" t="s">
        <v>1771</v>
      </c>
      <c r="AB1296" s="1" t="s">
        <v>4</v>
      </c>
      <c r="AC1296" s="1" t="s">
        <v>3</v>
      </c>
      <c r="AD1296" s="1" t="s">
        <v>5</v>
      </c>
      <c r="AE1296" s="1" t="s">
        <v>6</v>
      </c>
      <c r="AF1296" s="1" t="s">
        <v>1</v>
      </c>
      <c r="AG1296">
        <f t="shared" si="47"/>
        <v>0</v>
      </c>
    </row>
    <row r="1297" spans="27:33" hidden="1" x14ac:dyDescent="0.25">
      <c r="AA1297" t="s">
        <v>2086</v>
      </c>
      <c r="AB1297" s="1" t="s">
        <v>4</v>
      </c>
      <c r="AC1297" s="1" t="s">
        <v>11</v>
      </c>
      <c r="AD1297" s="1" t="s">
        <v>7</v>
      </c>
      <c r="AE1297" s="1" t="s">
        <v>11</v>
      </c>
      <c r="AF1297" s="1" t="s">
        <v>1922</v>
      </c>
      <c r="AG1297">
        <f t="shared" si="47"/>
        <v>0</v>
      </c>
    </row>
    <row r="1298" spans="27:33" hidden="1" x14ac:dyDescent="0.25">
      <c r="AA1298" t="s">
        <v>425</v>
      </c>
      <c r="AB1298" s="1" t="s">
        <v>0</v>
      </c>
      <c r="AC1298" s="1" t="s">
        <v>7</v>
      </c>
      <c r="AD1298" s="1" t="s">
        <v>11</v>
      </c>
      <c r="AE1298" s="1" t="s">
        <v>13</v>
      </c>
      <c r="AF1298" s="1" t="s">
        <v>1</v>
      </c>
      <c r="AG1298">
        <f t="shared" si="47"/>
        <v>0</v>
      </c>
    </row>
    <row r="1299" spans="27:33" hidden="1" x14ac:dyDescent="0.25">
      <c r="AA1299" t="s">
        <v>764</v>
      </c>
      <c r="AB1299" s="1" t="s">
        <v>1921</v>
      </c>
      <c r="AC1299" s="1" t="s">
        <v>3</v>
      </c>
      <c r="AD1299" s="1" t="s">
        <v>1</v>
      </c>
      <c r="AE1299" s="1" t="s">
        <v>1919</v>
      </c>
      <c r="AF1299" s="1" t="s">
        <v>1</v>
      </c>
      <c r="AG1299">
        <f t="shared" si="47"/>
        <v>0</v>
      </c>
    </row>
    <row r="1300" spans="27:33" hidden="1" x14ac:dyDescent="0.25">
      <c r="AA1300" t="s">
        <v>1450</v>
      </c>
      <c r="AB1300" s="1" t="s">
        <v>3</v>
      </c>
      <c r="AC1300" s="1" t="s">
        <v>11</v>
      </c>
      <c r="AD1300" s="1" t="s">
        <v>1</v>
      </c>
      <c r="AE1300" s="1" t="s">
        <v>4</v>
      </c>
      <c r="AF1300" s="1" t="s">
        <v>1</v>
      </c>
      <c r="AG1300">
        <f t="shared" si="47"/>
        <v>0</v>
      </c>
    </row>
    <row r="1301" spans="27:33" hidden="1" x14ac:dyDescent="0.25">
      <c r="AA1301" t="s">
        <v>2042</v>
      </c>
      <c r="AB1301" s="1" t="s">
        <v>9</v>
      </c>
      <c r="AC1301" s="1" t="s">
        <v>1</v>
      </c>
      <c r="AD1301" s="1" t="s">
        <v>4</v>
      </c>
      <c r="AE1301" s="1" t="s">
        <v>1</v>
      </c>
      <c r="AF1301" s="1" t="s">
        <v>6</v>
      </c>
      <c r="AG1301">
        <f t="shared" si="47"/>
        <v>0</v>
      </c>
    </row>
    <row r="1302" spans="27:33" hidden="1" x14ac:dyDescent="0.25">
      <c r="AA1302" t="s">
        <v>132</v>
      </c>
      <c r="AB1302" s="1" t="s">
        <v>1</v>
      </c>
      <c r="AC1302" s="1" t="s">
        <v>4</v>
      </c>
      <c r="AD1302" s="1" t="s">
        <v>1</v>
      </c>
      <c r="AE1302" s="1" t="s">
        <v>1915</v>
      </c>
      <c r="AF1302" s="1" t="s">
        <v>5</v>
      </c>
      <c r="AG1302">
        <f t="shared" si="47"/>
        <v>0</v>
      </c>
    </row>
    <row r="1303" spans="27:33" hidden="1" x14ac:dyDescent="0.25">
      <c r="AA1303" t="s">
        <v>489</v>
      </c>
      <c r="AB1303" s="1" t="s">
        <v>0</v>
      </c>
      <c r="AC1303" s="1" t="s">
        <v>8</v>
      </c>
      <c r="AD1303" s="1" t="s">
        <v>11</v>
      </c>
      <c r="AE1303" s="1" t="s">
        <v>12</v>
      </c>
      <c r="AF1303" s="1" t="s">
        <v>5</v>
      </c>
      <c r="AG1303">
        <f t="shared" si="47"/>
        <v>0</v>
      </c>
    </row>
    <row r="1304" spans="27:33" hidden="1" x14ac:dyDescent="0.25">
      <c r="AA1304" t="s">
        <v>2236</v>
      </c>
      <c r="AB1304" s="1" t="s">
        <v>1915</v>
      </c>
      <c r="AC1304" s="1" t="s">
        <v>5</v>
      </c>
      <c r="AD1304" s="1" t="s">
        <v>7</v>
      </c>
      <c r="AE1304" s="1" t="s">
        <v>1</v>
      </c>
      <c r="AF1304" s="1" t="s">
        <v>3</v>
      </c>
      <c r="AG1304">
        <f t="shared" si="47"/>
        <v>0</v>
      </c>
    </row>
    <row r="1305" spans="27:33" hidden="1" x14ac:dyDescent="0.25">
      <c r="AA1305" t="s">
        <v>398</v>
      </c>
      <c r="AB1305" s="1" t="s">
        <v>0</v>
      </c>
      <c r="AC1305" s="1" t="s">
        <v>1917</v>
      </c>
      <c r="AD1305" s="1" t="s">
        <v>8</v>
      </c>
      <c r="AE1305" s="1" t="s">
        <v>7</v>
      </c>
      <c r="AF1305" s="1" t="s">
        <v>5</v>
      </c>
      <c r="AG1305">
        <f t="shared" si="47"/>
        <v>0</v>
      </c>
    </row>
    <row r="1306" spans="27:33" hidden="1" x14ac:dyDescent="0.25">
      <c r="AA1306" t="s">
        <v>975</v>
      </c>
      <c r="AB1306" s="1" t="s">
        <v>7</v>
      </c>
      <c r="AC1306" s="1" t="s">
        <v>10</v>
      </c>
      <c r="AD1306" s="1" t="s">
        <v>4</v>
      </c>
      <c r="AE1306" s="1" t="s">
        <v>3</v>
      </c>
      <c r="AF1306" s="1" t="s">
        <v>5</v>
      </c>
      <c r="AG1306">
        <f t="shared" si="47"/>
        <v>0</v>
      </c>
    </row>
    <row r="1307" spans="27:33" hidden="1" x14ac:dyDescent="0.25">
      <c r="AA1307" t="s">
        <v>1039</v>
      </c>
      <c r="AB1307" s="1" t="s">
        <v>13</v>
      </c>
      <c r="AC1307" s="1" t="s">
        <v>1</v>
      </c>
      <c r="AD1307" s="1" t="s">
        <v>4</v>
      </c>
      <c r="AE1307" s="1" t="s">
        <v>1</v>
      </c>
      <c r="AF1307" s="1" t="s">
        <v>3</v>
      </c>
      <c r="AG1307">
        <f t="shared" si="47"/>
        <v>0</v>
      </c>
    </row>
    <row r="1308" spans="27:33" hidden="1" x14ac:dyDescent="0.25">
      <c r="AA1308" t="s">
        <v>59</v>
      </c>
      <c r="AB1308" s="1" t="s">
        <v>1</v>
      </c>
      <c r="AC1308" s="1" t="s">
        <v>7</v>
      </c>
      <c r="AD1308" s="1" t="s">
        <v>1920</v>
      </c>
      <c r="AE1308" s="1" t="s">
        <v>10</v>
      </c>
      <c r="AF1308" s="1" t="s">
        <v>7</v>
      </c>
      <c r="AG1308">
        <f t="shared" si="47"/>
        <v>0</v>
      </c>
    </row>
    <row r="1309" spans="27:33" hidden="1" x14ac:dyDescent="0.25">
      <c r="AA1309" t="s">
        <v>1595</v>
      </c>
      <c r="AB1309" s="1" t="s">
        <v>2</v>
      </c>
      <c r="AC1309" s="1" t="s">
        <v>10</v>
      </c>
      <c r="AD1309" s="1" t="s">
        <v>13</v>
      </c>
      <c r="AE1309" s="1" t="s">
        <v>10</v>
      </c>
      <c r="AF1309" s="1" t="s">
        <v>5</v>
      </c>
      <c r="AG1309">
        <f t="shared" si="47"/>
        <v>0</v>
      </c>
    </row>
    <row r="1310" spans="27:33" hidden="1" x14ac:dyDescent="0.25">
      <c r="AA1310" t="s">
        <v>517</v>
      </c>
      <c r="AB1310" s="1" t="s">
        <v>1915</v>
      </c>
      <c r="AC1310" s="1" t="s">
        <v>11</v>
      </c>
      <c r="AD1310" s="1" t="s">
        <v>1915</v>
      </c>
      <c r="AE1310" s="1" t="s">
        <v>1</v>
      </c>
      <c r="AF1310" s="1" t="s">
        <v>7</v>
      </c>
      <c r="AG1310">
        <f t="shared" si="47"/>
        <v>0</v>
      </c>
    </row>
    <row r="1311" spans="27:33" hidden="1" x14ac:dyDescent="0.25">
      <c r="AA1311" t="s">
        <v>2159</v>
      </c>
      <c r="AB1311" s="1" t="s">
        <v>3</v>
      </c>
      <c r="AC1311" s="1" t="s">
        <v>5</v>
      </c>
      <c r="AD1311" s="1" t="s">
        <v>10</v>
      </c>
      <c r="AE1311" s="1" t="s">
        <v>1915</v>
      </c>
      <c r="AF1311" s="1" t="s">
        <v>1</v>
      </c>
      <c r="AG1311">
        <f t="shared" si="47"/>
        <v>0</v>
      </c>
    </row>
    <row r="1312" spans="27:33" hidden="1" x14ac:dyDescent="0.25">
      <c r="AA1312" t="s">
        <v>1040</v>
      </c>
      <c r="AB1312" s="1" t="s">
        <v>13</v>
      </c>
      <c r="AC1312" s="1" t="s">
        <v>1</v>
      </c>
      <c r="AD1312" s="1" t="s">
        <v>4</v>
      </c>
      <c r="AE1312" s="1" t="s">
        <v>11</v>
      </c>
      <c r="AF1312" s="1" t="s">
        <v>2</v>
      </c>
      <c r="AG1312">
        <f t="shared" si="47"/>
        <v>0</v>
      </c>
    </row>
    <row r="1313" spans="27:33" hidden="1" x14ac:dyDescent="0.25">
      <c r="AA1313" t="s">
        <v>185</v>
      </c>
      <c r="AB1313" s="1" t="s">
        <v>1914</v>
      </c>
      <c r="AC1313" s="1" t="s">
        <v>1</v>
      </c>
      <c r="AD1313" s="1" t="s">
        <v>2</v>
      </c>
      <c r="AE1313" s="1" t="s">
        <v>4</v>
      </c>
      <c r="AF1313" s="1" t="s">
        <v>1</v>
      </c>
      <c r="AG1313">
        <f t="shared" si="47"/>
        <v>0</v>
      </c>
    </row>
    <row r="1314" spans="27:33" hidden="1" x14ac:dyDescent="0.25">
      <c r="AA1314" t="s">
        <v>1667</v>
      </c>
      <c r="AB1314" s="1" t="s">
        <v>4</v>
      </c>
      <c r="AC1314" s="1" t="s">
        <v>1</v>
      </c>
      <c r="AD1314" s="1" t="s">
        <v>3</v>
      </c>
      <c r="AE1314" s="1" t="s">
        <v>1915</v>
      </c>
      <c r="AF1314" s="1" t="s">
        <v>11</v>
      </c>
      <c r="AG1314">
        <f t="shared" si="47"/>
        <v>0</v>
      </c>
    </row>
    <row r="1315" spans="27:33" hidden="1" x14ac:dyDescent="0.25">
      <c r="AA1315" t="s">
        <v>871</v>
      </c>
      <c r="AB1315" s="1" t="s">
        <v>10</v>
      </c>
      <c r="AC1315" s="1" t="s">
        <v>2</v>
      </c>
      <c r="AD1315" s="1" t="s">
        <v>7</v>
      </c>
      <c r="AE1315" s="1" t="s">
        <v>1</v>
      </c>
      <c r="AF1315" s="1" t="s">
        <v>13</v>
      </c>
      <c r="AG1315">
        <f t="shared" si="47"/>
        <v>0</v>
      </c>
    </row>
    <row r="1316" spans="27:33" hidden="1" x14ac:dyDescent="0.25">
      <c r="AA1316" t="s">
        <v>1795</v>
      </c>
      <c r="AB1316" s="1" t="s">
        <v>8</v>
      </c>
      <c r="AC1316" s="1" t="s">
        <v>1916</v>
      </c>
      <c r="AD1316" s="1" t="s">
        <v>11</v>
      </c>
      <c r="AE1316" s="1" t="s">
        <v>3</v>
      </c>
      <c r="AF1316" s="1" t="s">
        <v>5</v>
      </c>
      <c r="AG1316">
        <f t="shared" si="47"/>
        <v>0</v>
      </c>
    </row>
    <row r="1317" spans="27:33" hidden="1" x14ac:dyDescent="0.25">
      <c r="AA1317" t="s">
        <v>54</v>
      </c>
      <c r="AB1317" s="1" t="s">
        <v>1</v>
      </c>
      <c r="AC1317" s="1" t="s">
        <v>7</v>
      </c>
      <c r="AD1317" s="1" t="s">
        <v>1</v>
      </c>
      <c r="AE1317" s="1" t="s">
        <v>1915</v>
      </c>
      <c r="AF1317" s="1" t="s">
        <v>5</v>
      </c>
      <c r="AG1317">
        <f t="shared" si="47"/>
        <v>0</v>
      </c>
    </row>
    <row r="1318" spans="27:33" hidden="1" x14ac:dyDescent="0.25">
      <c r="AA1318" t="s">
        <v>691</v>
      </c>
      <c r="AB1318" s="1" t="s">
        <v>1920</v>
      </c>
      <c r="AC1318" s="1" t="s">
        <v>3</v>
      </c>
      <c r="AD1318" s="1" t="s">
        <v>5</v>
      </c>
      <c r="AE1318" s="1" t="s">
        <v>4</v>
      </c>
      <c r="AF1318" s="1" t="s">
        <v>11</v>
      </c>
      <c r="AG1318">
        <f t="shared" si="47"/>
        <v>0</v>
      </c>
    </row>
    <row r="1319" spans="27:33" hidden="1" x14ac:dyDescent="0.25">
      <c r="AA1319" t="s">
        <v>80</v>
      </c>
      <c r="AB1319" s="1" t="s">
        <v>1</v>
      </c>
      <c r="AC1319" s="1" t="s">
        <v>13</v>
      </c>
      <c r="AD1319" s="1" t="s">
        <v>8</v>
      </c>
      <c r="AE1319" s="1" t="s">
        <v>3</v>
      </c>
      <c r="AF1319" s="1" t="s">
        <v>1</v>
      </c>
      <c r="AG1319">
        <f t="shared" si="47"/>
        <v>0</v>
      </c>
    </row>
    <row r="1320" spans="27:33" hidden="1" x14ac:dyDescent="0.25">
      <c r="AA1320" t="s">
        <v>1120</v>
      </c>
      <c r="AB1320" s="1" t="s">
        <v>13</v>
      </c>
      <c r="AC1320" s="1" t="s">
        <v>8</v>
      </c>
      <c r="AD1320" s="1" t="s">
        <v>0</v>
      </c>
      <c r="AE1320" s="1" t="s">
        <v>1917</v>
      </c>
      <c r="AF1320" s="1" t="s">
        <v>5</v>
      </c>
      <c r="AG1320">
        <f t="shared" si="47"/>
        <v>0</v>
      </c>
    </row>
    <row r="1321" spans="27:33" hidden="1" x14ac:dyDescent="0.25">
      <c r="AA1321" t="s">
        <v>1870</v>
      </c>
      <c r="AB1321" s="1" t="s">
        <v>1919</v>
      </c>
      <c r="AC1321" s="1" t="s">
        <v>5</v>
      </c>
      <c r="AD1321" s="1" t="s">
        <v>1915</v>
      </c>
      <c r="AE1321" s="1" t="s">
        <v>14</v>
      </c>
      <c r="AF1321" s="1" t="s">
        <v>1</v>
      </c>
      <c r="AG1321">
        <f t="shared" si="47"/>
        <v>0</v>
      </c>
    </row>
    <row r="1322" spans="27:33" hidden="1" x14ac:dyDescent="0.25">
      <c r="AA1322" t="s">
        <v>1240</v>
      </c>
      <c r="AB1322" s="1" t="s">
        <v>5</v>
      </c>
      <c r="AC1322" s="1" t="s">
        <v>4</v>
      </c>
      <c r="AD1322" s="1" t="s">
        <v>11</v>
      </c>
      <c r="AE1322" s="1" t="s">
        <v>3</v>
      </c>
      <c r="AF1322" s="1" t="s">
        <v>5</v>
      </c>
      <c r="AG1322">
        <f t="shared" si="47"/>
        <v>0</v>
      </c>
    </row>
    <row r="1323" spans="27:33" hidden="1" x14ac:dyDescent="0.25">
      <c r="AA1323" t="s">
        <v>1755</v>
      </c>
      <c r="AB1323" s="1" t="s">
        <v>4</v>
      </c>
      <c r="AC1323" s="1" t="s">
        <v>3</v>
      </c>
      <c r="AD1323" s="1" t="s">
        <v>1</v>
      </c>
      <c r="AE1323" s="1" t="s">
        <v>9</v>
      </c>
      <c r="AF1323" s="1" t="s">
        <v>5</v>
      </c>
      <c r="AG1323">
        <f t="shared" si="47"/>
        <v>0</v>
      </c>
    </row>
    <row r="1324" spans="27:33" hidden="1" x14ac:dyDescent="0.25">
      <c r="AA1324" t="s">
        <v>310</v>
      </c>
      <c r="AB1324" s="1" t="s">
        <v>0</v>
      </c>
      <c r="AC1324" s="1" t="s">
        <v>1</v>
      </c>
      <c r="AD1324" s="1" t="s">
        <v>13</v>
      </c>
      <c r="AE1324" s="1" t="s">
        <v>9</v>
      </c>
      <c r="AF1324" s="1" t="s">
        <v>5</v>
      </c>
      <c r="AG1324">
        <f t="shared" si="47"/>
        <v>0</v>
      </c>
    </row>
    <row r="1325" spans="27:33" hidden="1" x14ac:dyDescent="0.25">
      <c r="AA1325" t="s">
        <v>156</v>
      </c>
      <c r="AB1325" s="1" t="s">
        <v>1914</v>
      </c>
      <c r="AC1325" s="1" t="s">
        <v>1</v>
      </c>
      <c r="AD1325" s="1" t="s">
        <v>1914</v>
      </c>
      <c r="AE1325" s="1" t="s">
        <v>7</v>
      </c>
      <c r="AF1325" s="1" t="s">
        <v>11</v>
      </c>
      <c r="AG1325">
        <f t="shared" si="47"/>
        <v>0</v>
      </c>
    </row>
    <row r="1326" spans="27:33" hidden="1" x14ac:dyDescent="0.25">
      <c r="AA1326" t="s">
        <v>1690</v>
      </c>
      <c r="AB1326" s="1" t="s">
        <v>4</v>
      </c>
      <c r="AC1326" s="1" t="s">
        <v>11</v>
      </c>
      <c r="AD1326" s="1" t="s">
        <v>1916</v>
      </c>
      <c r="AE1326" s="1" t="s">
        <v>10</v>
      </c>
      <c r="AF1326" s="1" t="s">
        <v>3</v>
      </c>
      <c r="AG1326">
        <f t="shared" si="47"/>
        <v>0</v>
      </c>
    </row>
    <row r="1327" spans="27:33" hidden="1" x14ac:dyDescent="0.25">
      <c r="AA1327" t="s">
        <v>212</v>
      </c>
      <c r="AB1327" s="1" t="s">
        <v>1914</v>
      </c>
      <c r="AC1327" s="1" t="s">
        <v>10</v>
      </c>
      <c r="AD1327" s="1" t="s">
        <v>3</v>
      </c>
      <c r="AE1327" s="1" t="s">
        <v>3</v>
      </c>
      <c r="AF1327" s="1" t="s">
        <v>1</v>
      </c>
      <c r="AG1327">
        <f t="shared" si="47"/>
        <v>0</v>
      </c>
    </row>
    <row r="1328" spans="27:33" hidden="1" x14ac:dyDescent="0.25">
      <c r="AA1328" t="s">
        <v>2098</v>
      </c>
      <c r="AB1328" s="1" t="s">
        <v>10</v>
      </c>
      <c r="AC1328" s="1" t="s">
        <v>1914</v>
      </c>
      <c r="AD1328" s="1" t="s">
        <v>11</v>
      </c>
      <c r="AE1328" s="1" t="s">
        <v>3</v>
      </c>
      <c r="AF1328" s="1" t="s">
        <v>5</v>
      </c>
      <c r="AG1328">
        <f t="shared" si="47"/>
        <v>0</v>
      </c>
    </row>
    <row r="1329" spans="27:33" hidden="1" x14ac:dyDescent="0.25">
      <c r="AA1329" t="s">
        <v>190</v>
      </c>
      <c r="AB1329" s="1" t="s">
        <v>1914</v>
      </c>
      <c r="AC1329" s="1" t="s">
        <v>1</v>
      </c>
      <c r="AD1329" s="1" t="s">
        <v>12</v>
      </c>
      <c r="AE1329" s="1" t="s">
        <v>1</v>
      </c>
      <c r="AF1329" s="1" t="s">
        <v>3</v>
      </c>
      <c r="AG1329">
        <f t="shared" si="47"/>
        <v>0</v>
      </c>
    </row>
    <row r="1330" spans="27:33" hidden="1" x14ac:dyDescent="0.25">
      <c r="AA1330" t="s">
        <v>1031</v>
      </c>
      <c r="AB1330" s="1" t="s">
        <v>13</v>
      </c>
      <c r="AC1330" s="1" t="s">
        <v>1</v>
      </c>
      <c r="AD1330" s="1" t="s">
        <v>1923</v>
      </c>
      <c r="AE1330" s="1" t="s">
        <v>8</v>
      </c>
      <c r="AF1330" s="1" t="s">
        <v>10</v>
      </c>
      <c r="AG1330">
        <f t="shared" si="47"/>
        <v>0</v>
      </c>
    </row>
    <row r="1331" spans="27:33" hidden="1" x14ac:dyDescent="0.25">
      <c r="AA1331" t="s">
        <v>2158</v>
      </c>
      <c r="AB1331" s="1" t="s">
        <v>13</v>
      </c>
      <c r="AC1331" s="1" t="s">
        <v>1</v>
      </c>
      <c r="AD1331" s="1" t="s">
        <v>6</v>
      </c>
      <c r="AE1331" s="1" t="s">
        <v>10</v>
      </c>
      <c r="AF1331" s="1" t="s">
        <v>1</v>
      </c>
      <c r="AG1331">
        <f t="shared" si="47"/>
        <v>0</v>
      </c>
    </row>
    <row r="1332" spans="27:33" hidden="1" x14ac:dyDescent="0.25">
      <c r="AA1332" t="s">
        <v>271</v>
      </c>
      <c r="AB1332" s="1" t="s">
        <v>1914</v>
      </c>
      <c r="AC1332" s="1" t="s">
        <v>8</v>
      </c>
      <c r="AD1332" s="1" t="s">
        <v>7</v>
      </c>
      <c r="AE1332" s="1" t="s">
        <v>1914</v>
      </c>
      <c r="AF1332" s="1" t="s">
        <v>5</v>
      </c>
      <c r="AG1332">
        <f t="shared" si="47"/>
        <v>0</v>
      </c>
    </row>
    <row r="1333" spans="27:33" hidden="1" x14ac:dyDescent="0.25">
      <c r="AA1333" t="s">
        <v>906</v>
      </c>
      <c r="AB1333" s="1" t="s">
        <v>15</v>
      </c>
      <c r="AC1333" s="1" t="s">
        <v>8</v>
      </c>
      <c r="AD1333" s="1" t="s">
        <v>2</v>
      </c>
      <c r="AE1333" s="1" t="s">
        <v>4</v>
      </c>
      <c r="AF1333" s="1" t="s">
        <v>1</v>
      </c>
      <c r="AG1333">
        <f t="shared" si="47"/>
        <v>0</v>
      </c>
    </row>
    <row r="1334" spans="27:33" hidden="1" x14ac:dyDescent="0.25">
      <c r="AA1334" t="s">
        <v>1696</v>
      </c>
      <c r="AB1334" s="1" t="s">
        <v>4</v>
      </c>
      <c r="AC1334" s="1" t="s">
        <v>11</v>
      </c>
      <c r="AD1334" s="1" t="s">
        <v>3</v>
      </c>
      <c r="AE1334" s="1" t="s">
        <v>0</v>
      </c>
      <c r="AF1334" s="1" t="s">
        <v>5</v>
      </c>
      <c r="AG1334">
        <f t="shared" si="47"/>
        <v>0</v>
      </c>
    </row>
    <row r="1335" spans="27:33" hidden="1" x14ac:dyDescent="0.25">
      <c r="AA1335" t="s">
        <v>1158</v>
      </c>
      <c r="AB1335" s="1" t="s">
        <v>6</v>
      </c>
      <c r="AC1335" s="1" t="s">
        <v>11</v>
      </c>
      <c r="AD1335" s="1" t="s">
        <v>1921</v>
      </c>
      <c r="AE1335" s="1" t="s">
        <v>3</v>
      </c>
      <c r="AF1335" s="1" t="s">
        <v>5</v>
      </c>
      <c r="AG1335">
        <f t="shared" si="47"/>
        <v>0</v>
      </c>
    </row>
    <row r="1336" spans="27:33" hidden="1" x14ac:dyDescent="0.25">
      <c r="AA1336" t="s">
        <v>870</v>
      </c>
      <c r="AB1336" s="1" t="s">
        <v>10</v>
      </c>
      <c r="AC1336" s="1" t="s">
        <v>6</v>
      </c>
      <c r="AD1336" s="1" t="s">
        <v>4</v>
      </c>
      <c r="AE1336" s="1" t="s">
        <v>3</v>
      </c>
      <c r="AF1336" s="1" t="s">
        <v>5</v>
      </c>
      <c r="AG1336">
        <f t="shared" si="47"/>
        <v>0</v>
      </c>
    </row>
    <row r="1337" spans="27:33" hidden="1" x14ac:dyDescent="0.25">
      <c r="AA1337" t="s">
        <v>1165</v>
      </c>
      <c r="AB1337" s="1" t="s">
        <v>6</v>
      </c>
      <c r="AC1337" s="1" t="s">
        <v>10</v>
      </c>
      <c r="AD1337" s="1" t="s">
        <v>13</v>
      </c>
      <c r="AE1337" s="1" t="s">
        <v>10</v>
      </c>
      <c r="AF1337" s="1" t="s">
        <v>1</v>
      </c>
      <c r="AG1337">
        <f t="shared" si="47"/>
        <v>0</v>
      </c>
    </row>
    <row r="1338" spans="27:33" hidden="1" x14ac:dyDescent="0.25">
      <c r="AA1338" t="s">
        <v>1216</v>
      </c>
      <c r="AB1338" s="1" t="s">
        <v>5</v>
      </c>
      <c r="AC1338" s="1" t="s">
        <v>7</v>
      </c>
      <c r="AD1338" s="1" t="s">
        <v>10</v>
      </c>
      <c r="AE1338" s="1" t="s">
        <v>1919</v>
      </c>
      <c r="AF1338" s="1" t="s">
        <v>5</v>
      </c>
      <c r="AG1338">
        <f t="shared" si="47"/>
        <v>0</v>
      </c>
    </row>
    <row r="1339" spans="27:33" hidden="1" x14ac:dyDescent="0.25">
      <c r="AA1339" t="s">
        <v>1552</v>
      </c>
      <c r="AB1339" s="1" t="s">
        <v>2</v>
      </c>
      <c r="AC1339" s="1" t="s">
        <v>1</v>
      </c>
      <c r="AD1339" s="1" t="s">
        <v>3</v>
      </c>
      <c r="AE1339" s="1" t="s">
        <v>1921</v>
      </c>
      <c r="AF1339" s="1" t="s">
        <v>5</v>
      </c>
      <c r="AG1339">
        <f t="shared" si="47"/>
        <v>0</v>
      </c>
    </row>
    <row r="1340" spans="27:33" hidden="1" x14ac:dyDescent="0.25">
      <c r="AA1340" t="s">
        <v>1454</v>
      </c>
      <c r="AB1340" s="1" t="s">
        <v>3</v>
      </c>
      <c r="AC1340" s="1" t="s">
        <v>11</v>
      </c>
      <c r="AD1340" s="1" t="s">
        <v>0</v>
      </c>
      <c r="AE1340" s="1" t="s">
        <v>4</v>
      </c>
      <c r="AF1340" s="1" t="s">
        <v>5</v>
      </c>
      <c r="AG1340">
        <f t="shared" si="47"/>
        <v>0</v>
      </c>
    </row>
    <row r="1341" spans="27:33" hidden="1" x14ac:dyDescent="0.25">
      <c r="AA1341" t="s">
        <v>2175</v>
      </c>
      <c r="AB1341" s="1" t="s">
        <v>1920</v>
      </c>
      <c r="AC1341" s="1" t="s">
        <v>5</v>
      </c>
      <c r="AD1341" s="1" t="s">
        <v>3</v>
      </c>
      <c r="AE1341" s="1" t="s">
        <v>8</v>
      </c>
      <c r="AF1341" s="1" t="s">
        <v>13</v>
      </c>
      <c r="AG1341">
        <f t="shared" si="47"/>
        <v>0</v>
      </c>
    </row>
    <row r="1342" spans="27:33" hidden="1" x14ac:dyDescent="0.25">
      <c r="AA1342" t="s">
        <v>1211</v>
      </c>
      <c r="AB1342" s="1" t="s">
        <v>5</v>
      </c>
      <c r="AC1342" s="1" t="s">
        <v>15</v>
      </c>
      <c r="AD1342" s="1" t="s">
        <v>10</v>
      </c>
      <c r="AE1342" s="1" t="s">
        <v>4</v>
      </c>
      <c r="AF1342" s="1" t="s">
        <v>5</v>
      </c>
      <c r="AG1342">
        <f t="shared" si="47"/>
        <v>0</v>
      </c>
    </row>
    <row r="1343" spans="27:33" hidden="1" x14ac:dyDescent="0.25">
      <c r="AA1343" t="s">
        <v>457</v>
      </c>
      <c r="AB1343" s="1" t="s">
        <v>0</v>
      </c>
      <c r="AC1343" s="1" t="s">
        <v>5</v>
      </c>
      <c r="AD1343" s="1" t="s">
        <v>3</v>
      </c>
      <c r="AE1343" s="1" t="s">
        <v>4</v>
      </c>
      <c r="AF1343" s="1" t="s">
        <v>5</v>
      </c>
      <c r="AG1343">
        <f t="shared" si="47"/>
        <v>0</v>
      </c>
    </row>
    <row r="1344" spans="27:33" hidden="1" x14ac:dyDescent="0.25">
      <c r="AA1344" t="s">
        <v>819</v>
      </c>
      <c r="AB1344" s="1" t="s">
        <v>1917</v>
      </c>
      <c r="AC1344" s="1" t="s">
        <v>10</v>
      </c>
      <c r="AD1344" s="1" t="s">
        <v>1915</v>
      </c>
      <c r="AE1344" s="1" t="s">
        <v>3</v>
      </c>
      <c r="AF1344" s="1" t="s">
        <v>1</v>
      </c>
      <c r="AG1344">
        <f t="shared" si="47"/>
        <v>0</v>
      </c>
    </row>
    <row r="1345" spans="27:33" hidden="1" x14ac:dyDescent="0.25">
      <c r="AA1345" t="s">
        <v>437</v>
      </c>
      <c r="AB1345" s="1" t="s">
        <v>0</v>
      </c>
      <c r="AC1345" s="1" t="s">
        <v>5</v>
      </c>
      <c r="AD1345" s="1" t="s">
        <v>10</v>
      </c>
      <c r="AE1345" s="1" t="s">
        <v>4</v>
      </c>
      <c r="AF1345" s="1" t="s">
        <v>5</v>
      </c>
      <c r="AG1345">
        <f t="shared" si="47"/>
        <v>0</v>
      </c>
    </row>
    <row r="1346" spans="27:33" hidden="1" x14ac:dyDescent="0.25">
      <c r="AA1346" t="s">
        <v>558</v>
      </c>
      <c r="AB1346" s="1" t="s">
        <v>1915</v>
      </c>
      <c r="AC1346" s="1" t="s">
        <v>3</v>
      </c>
      <c r="AD1346" s="1" t="s">
        <v>10</v>
      </c>
      <c r="AE1346" s="1" t="s">
        <v>12</v>
      </c>
      <c r="AF1346" s="1" t="s">
        <v>1</v>
      </c>
      <c r="AG1346">
        <f t="shared" si="47"/>
        <v>0</v>
      </c>
    </row>
    <row r="1347" spans="27:33" hidden="1" x14ac:dyDescent="0.25">
      <c r="AA1347" t="s">
        <v>1695</v>
      </c>
      <c r="AB1347" s="1" t="s">
        <v>4</v>
      </c>
      <c r="AC1347" s="1" t="s">
        <v>11</v>
      </c>
      <c r="AD1347" s="1" t="s">
        <v>3</v>
      </c>
      <c r="AE1347" s="1" t="s">
        <v>0</v>
      </c>
      <c r="AF1347" s="1" t="s">
        <v>1</v>
      </c>
      <c r="AG1347">
        <f t="shared" ref="AG1347:AG1410" si="48">IF(AND(Z1347&gt;0,Z1347&lt;7),AG1346+1,0)</f>
        <v>0</v>
      </c>
    </row>
    <row r="1348" spans="27:33" hidden="1" x14ac:dyDescent="0.25">
      <c r="AA1348" t="s">
        <v>1671</v>
      </c>
      <c r="AB1348" s="1" t="s">
        <v>4</v>
      </c>
      <c r="AC1348" s="1" t="s">
        <v>1</v>
      </c>
      <c r="AD1348" s="1" t="s">
        <v>3</v>
      </c>
      <c r="AE1348" s="1" t="s">
        <v>2</v>
      </c>
      <c r="AF1348" s="1" t="s">
        <v>5</v>
      </c>
      <c r="AG1348">
        <f t="shared" si="48"/>
        <v>0</v>
      </c>
    </row>
    <row r="1349" spans="27:33" hidden="1" x14ac:dyDescent="0.25">
      <c r="AA1349" t="s">
        <v>592</v>
      </c>
      <c r="AB1349" s="1" t="s">
        <v>11</v>
      </c>
      <c r="AC1349" s="1" t="s">
        <v>3</v>
      </c>
      <c r="AD1349" s="1" t="s">
        <v>3</v>
      </c>
      <c r="AE1349" s="1" t="s">
        <v>1</v>
      </c>
      <c r="AF1349" s="1" t="s">
        <v>3</v>
      </c>
      <c r="AG1349">
        <f t="shared" si="48"/>
        <v>0</v>
      </c>
    </row>
    <row r="1350" spans="27:33" hidden="1" x14ac:dyDescent="0.25">
      <c r="AA1350" t="s">
        <v>2047</v>
      </c>
      <c r="AB1350" s="1" t="s">
        <v>1914</v>
      </c>
      <c r="AC1350" s="1" t="s">
        <v>1</v>
      </c>
      <c r="AD1350" s="1" t="s">
        <v>1915</v>
      </c>
      <c r="AE1350" s="1" t="s">
        <v>11</v>
      </c>
      <c r="AF1350" s="1" t="s">
        <v>6</v>
      </c>
      <c r="AG1350">
        <f t="shared" si="48"/>
        <v>0</v>
      </c>
    </row>
    <row r="1351" spans="27:33" hidden="1" x14ac:dyDescent="0.25">
      <c r="AA1351" t="s">
        <v>1106</v>
      </c>
      <c r="AB1351" s="1" t="s">
        <v>13</v>
      </c>
      <c r="AC1351" s="1" t="s">
        <v>5</v>
      </c>
      <c r="AD1351" s="1" t="s">
        <v>6</v>
      </c>
      <c r="AE1351" s="1" t="s">
        <v>15</v>
      </c>
      <c r="AF1351" s="1" t="s">
        <v>11</v>
      </c>
      <c r="AG1351">
        <f t="shared" si="48"/>
        <v>0</v>
      </c>
    </row>
    <row r="1352" spans="27:33" hidden="1" x14ac:dyDescent="0.25">
      <c r="AA1352" t="s">
        <v>110</v>
      </c>
      <c r="AB1352" s="1" t="s">
        <v>1</v>
      </c>
      <c r="AC1352" s="1" t="s">
        <v>3</v>
      </c>
      <c r="AD1352" s="1" t="s">
        <v>1915</v>
      </c>
      <c r="AE1352" s="1" t="s">
        <v>11</v>
      </c>
      <c r="AF1352" s="1" t="s">
        <v>3</v>
      </c>
      <c r="AG1352">
        <f t="shared" si="48"/>
        <v>0</v>
      </c>
    </row>
    <row r="1353" spans="27:33" hidden="1" x14ac:dyDescent="0.25">
      <c r="AA1353" t="s">
        <v>477</v>
      </c>
      <c r="AB1353" s="1" t="s">
        <v>0</v>
      </c>
      <c r="AC1353" s="1" t="s">
        <v>3</v>
      </c>
      <c r="AD1353" s="1" t="s">
        <v>5</v>
      </c>
      <c r="AE1353" s="1" t="s">
        <v>13</v>
      </c>
      <c r="AF1353" s="1" t="s">
        <v>5</v>
      </c>
      <c r="AG1353">
        <f t="shared" si="48"/>
        <v>0</v>
      </c>
    </row>
    <row r="1354" spans="27:33" hidden="1" x14ac:dyDescent="0.25">
      <c r="AA1354" t="s">
        <v>641</v>
      </c>
      <c r="AB1354" s="1" t="s">
        <v>1920</v>
      </c>
      <c r="AC1354" s="1" t="s">
        <v>10</v>
      </c>
      <c r="AD1354" s="1" t="s">
        <v>0</v>
      </c>
      <c r="AE1354" s="1" t="s">
        <v>8</v>
      </c>
      <c r="AF1354" s="1" t="s">
        <v>2</v>
      </c>
      <c r="AG1354">
        <f t="shared" si="48"/>
        <v>0</v>
      </c>
    </row>
    <row r="1355" spans="27:33" hidden="1" x14ac:dyDescent="0.25">
      <c r="AA1355" t="s">
        <v>1888</v>
      </c>
      <c r="AB1355" s="1" t="s">
        <v>1918</v>
      </c>
      <c r="AC1355" s="1" t="s">
        <v>11</v>
      </c>
      <c r="AD1355" s="1" t="s">
        <v>3</v>
      </c>
      <c r="AE1355" s="1" t="s">
        <v>6</v>
      </c>
      <c r="AF1355" s="1" t="s">
        <v>5</v>
      </c>
      <c r="AG1355">
        <f t="shared" si="48"/>
        <v>0</v>
      </c>
    </row>
    <row r="1356" spans="27:33" hidden="1" x14ac:dyDescent="0.25">
      <c r="AA1356" t="s">
        <v>531</v>
      </c>
      <c r="AB1356" s="1" t="s">
        <v>1915</v>
      </c>
      <c r="AC1356" s="1" t="s">
        <v>10</v>
      </c>
      <c r="AD1356" s="1" t="s">
        <v>11</v>
      </c>
      <c r="AE1356" s="1" t="s">
        <v>4</v>
      </c>
      <c r="AF1356" s="1" t="s">
        <v>1</v>
      </c>
      <c r="AG1356">
        <f t="shared" si="48"/>
        <v>0</v>
      </c>
    </row>
    <row r="1357" spans="27:33" hidden="1" x14ac:dyDescent="0.25">
      <c r="AA1357" t="s">
        <v>624</v>
      </c>
      <c r="AB1357" s="1" t="s">
        <v>1920</v>
      </c>
      <c r="AC1357" s="1" t="s">
        <v>1</v>
      </c>
      <c r="AD1357" s="1" t="s">
        <v>8</v>
      </c>
      <c r="AE1357" s="1" t="s">
        <v>6</v>
      </c>
      <c r="AF1357" s="1" t="s">
        <v>1</v>
      </c>
      <c r="AG1357">
        <f t="shared" si="48"/>
        <v>0</v>
      </c>
    </row>
    <row r="1358" spans="27:33" hidden="1" x14ac:dyDescent="0.25">
      <c r="AA1358" t="s">
        <v>1742</v>
      </c>
      <c r="AB1358" s="1" t="s">
        <v>4</v>
      </c>
      <c r="AC1358" s="1" t="s">
        <v>5</v>
      </c>
      <c r="AD1358" s="1" t="s">
        <v>3</v>
      </c>
      <c r="AE1358" s="1" t="s">
        <v>2</v>
      </c>
      <c r="AF1358" s="1" t="s">
        <v>5</v>
      </c>
      <c r="AG1358">
        <f t="shared" si="48"/>
        <v>0</v>
      </c>
    </row>
    <row r="1359" spans="27:33" hidden="1" x14ac:dyDescent="0.25">
      <c r="AA1359" t="s">
        <v>1835</v>
      </c>
      <c r="AB1359" s="1" t="s">
        <v>1919</v>
      </c>
      <c r="AC1359" s="1" t="s">
        <v>11</v>
      </c>
      <c r="AD1359" s="1" t="s">
        <v>3</v>
      </c>
      <c r="AE1359" s="1" t="s">
        <v>1914</v>
      </c>
      <c r="AF1359" s="1" t="s">
        <v>5</v>
      </c>
      <c r="AG1359">
        <f t="shared" si="48"/>
        <v>0</v>
      </c>
    </row>
    <row r="1360" spans="27:33" hidden="1" x14ac:dyDescent="0.25">
      <c r="AA1360" t="s">
        <v>1054</v>
      </c>
      <c r="AB1360" s="1" t="s">
        <v>13</v>
      </c>
      <c r="AC1360" s="1" t="s">
        <v>11</v>
      </c>
      <c r="AD1360" s="1" t="s">
        <v>7</v>
      </c>
      <c r="AE1360" s="1" t="s">
        <v>7</v>
      </c>
      <c r="AF1360" s="1" t="s">
        <v>1</v>
      </c>
      <c r="AG1360">
        <f t="shared" si="48"/>
        <v>0</v>
      </c>
    </row>
    <row r="1361" spans="27:33" hidden="1" x14ac:dyDescent="0.25">
      <c r="AA1361" t="s">
        <v>385</v>
      </c>
      <c r="AB1361" s="1" t="s">
        <v>0</v>
      </c>
      <c r="AC1361" s="1" t="s">
        <v>1917</v>
      </c>
      <c r="AD1361" s="1" t="s">
        <v>10</v>
      </c>
      <c r="AE1361" s="1" t="s">
        <v>6</v>
      </c>
      <c r="AF1361" s="1" t="s">
        <v>1</v>
      </c>
      <c r="AG1361">
        <f t="shared" si="48"/>
        <v>0</v>
      </c>
    </row>
    <row r="1362" spans="27:33" hidden="1" x14ac:dyDescent="0.25">
      <c r="AA1362" t="s">
        <v>603</v>
      </c>
      <c r="AB1362" s="1" t="s">
        <v>1920</v>
      </c>
      <c r="AC1362" s="1" t="s">
        <v>1</v>
      </c>
      <c r="AD1362" s="1" t="s">
        <v>0</v>
      </c>
      <c r="AE1362" s="1" t="s">
        <v>1917</v>
      </c>
      <c r="AF1362" s="1" t="s">
        <v>1</v>
      </c>
      <c r="AG1362">
        <f t="shared" si="48"/>
        <v>0</v>
      </c>
    </row>
    <row r="1363" spans="27:33" hidden="1" x14ac:dyDescent="0.25">
      <c r="AA1363" t="s">
        <v>1842</v>
      </c>
      <c r="AB1363" s="1" t="s">
        <v>1919</v>
      </c>
      <c r="AC1363" s="1" t="s">
        <v>10</v>
      </c>
      <c r="AD1363" s="1" t="s">
        <v>1914</v>
      </c>
      <c r="AE1363" s="1" t="s">
        <v>3</v>
      </c>
      <c r="AF1363" s="1" t="s">
        <v>1</v>
      </c>
      <c r="AG1363">
        <f t="shared" si="48"/>
        <v>0</v>
      </c>
    </row>
    <row r="1364" spans="27:33" hidden="1" x14ac:dyDescent="0.25">
      <c r="AA1364" t="s">
        <v>1124</v>
      </c>
      <c r="AB1364" s="1" t="s">
        <v>13</v>
      </c>
      <c r="AC1364" s="1" t="s">
        <v>8</v>
      </c>
      <c r="AD1364" s="1" t="s">
        <v>11</v>
      </c>
      <c r="AE1364" s="1" t="s">
        <v>7</v>
      </c>
      <c r="AF1364" s="1" t="s">
        <v>1</v>
      </c>
      <c r="AG1364">
        <f t="shared" si="48"/>
        <v>0</v>
      </c>
    </row>
    <row r="1365" spans="27:33" hidden="1" x14ac:dyDescent="0.25">
      <c r="AA1365" t="s">
        <v>73</v>
      </c>
      <c r="AB1365" s="1" t="s">
        <v>1</v>
      </c>
      <c r="AC1365" s="1" t="s">
        <v>13</v>
      </c>
      <c r="AD1365" s="1" t="s">
        <v>11</v>
      </c>
      <c r="AE1365" s="1" t="s">
        <v>1914</v>
      </c>
      <c r="AF1365" s="1" t="s">
        <v>1</v>
      </c>
      <c r="AG1365">
        <f t="shared" si="48"/>
        <v>0</v>
      </c>
    </row>
    <row r="1366" spans="27:33" hidden="1" x14ac:dyDescent="0.25">
      <c r="AA1366" t="s">
        <v>1598</v>
      </c>
      <c r="AB1366" s="1" t="s">
        <v>2</v>
      </c>
      <c r="AC1366" s="1" t="s">
        <v>10</v>
      </c>
      <c r="AD1366" s="1" t="s">
        <v>1923</v>
      </c>
      <c r="AE1366" s="1" t="s">
        <v>8</v>
      </c>
      <c r="AF1366" s="1" t="s">
        <v>11</v>
      </c>
      <c r="AG1366">
        <f t="shared" si="48"/>
        <v>0</v>
      </c>
    </row>
    <row r="1367" spans="27:33" hidden="1" x14ac:dyDescent="0.25">
      <c r="AA1367" t="s">
        <v>1362</v>
      </c>
      <c r="AB1367" s="1" t="s">
        <v>9</v>
      </c>
      <c r="AC1367" s="1" t="s">
        <v>5</v>
      </c>
      <c r="AD1367" s="1" t="s">
        <v>1915</v>
      </c>
      <c r="AE1367" s="1" t="s">
        <v>1</v>
      </c>
      <c r="AF1367" s="1" t="s">
        <v>7</v>
      </c>
      <c r="AG1367">
        <f t="shared" si="48"/>
        <v>0</v>
      </c>
    </row>
    <row r="1368" spans="27:33" hidden="1" x14ac:dyDescent="0.25">
      <c r="AA1368" t="s">
        <v>349</v>
      </c>
      <c r="AB1368" s="1" t="s">
        <v>0</v>
      </c>
      <c r="AC1368" s="1" t="s">
        <v>1</v>
      </c>
      <c r="AD1368" s="1" t="s">
        <v>1919</v>
      </c>
      <c r="AE1368" s="1" t="s">
        <v>1</v>
      </c>
      <c r="AF1368" s="1" t="s">
        <v>3</v>
      </c>
      <c r="AG1368">
        <f t="shared" si="48"/>
        <v>0</v>
      </c>
    </row>
    <row r="1369" spans="27:33" hidden="1" x14ac:dyDescent="0.25">
      <c r="AA1369" t="s">
        <v>837</v>
      </c>
      <c r="AB1369" s="1" t="s">
        <v>1917</v>
      </c>
      <c r="AC1369" s="1" t="s">
        <v>5</v>
      </c>
      <c r="AD1369" s="1" t="s">
        <v>3</v>
      </c>
      <c r="AE1369" s="1" t="s">
        <v>1915</v>
      </c>
      <c r="AF1369" s="1" t="s">
        <v>1</v>
      </c>
      <c r="AG1369">
        <f t="shared" si="48"/>
        <v>0</v>
      </c>
    </row>
    <row r="1370" spans="27:33" hidden="1" x14ac:dyDescent="0.25">
      <c r="AA1370" t="s">
        <v>1354</v>
      </c>
      <c r="AB1370" s="1" t="s">
        <v>9</v>
      </c>
      <c r="AC1370" s="1" t="s">
        <v>7</v>
      </c>
      <c r="AD1370" s="1" t="s">
        <v>11</v>
      </c>
      <c r="AE1370" s="1" t="s">
        <v>6</v>
      </c>
      <c r="AF1370" s="1" t="s">
        <v>1</v>
      </c>
      <c r="AG1370">
        <f t="shared" si="48"/>
        <v>0</v>
      </c>
    </row>
    <row r="1371" spans="27:33" hidden="1" x14ac:dyDescent="0.25">
      <c r="AA1371" t="s">
        <v>2076</v>
      </c>
      <c r="AB1371" s="1" t="s">
        <v>11</v>
      </c>
      <c r="AC1371" s="1" t="s">
        <v>9</v>
      </c>
      <c r="AD1371" s="1" t="s">
        <v>10</v>
      </c>
      <c r="AE1371" s="1" t="s">
        <v>0</v>
      </c>
      <c r="AF1371" s="1" t="s">
        <v>1</v>
      </c>
      <c r="AG1371">
        <f t="shared" si="48"/>
        <v>0</v>
      </c>
    </row>
    <row r="1372" spans="27:33" hidden="1" x14ac:dyDescent="0.25">
      <c r="AA1372" t="s">
        <v>1543</v>
      </c>
      <c r="AB1372" s="1" t="s">
        <v>2</v>
      </c>
      <c r="AC1372" s="1" t="s">
        <v>1</v>
      </c>
      <c r="AD1372" s="1" t="s">
        <v>7</v>
      </c>
      <c r="AE1372" s="1" t="s">
        <v>8</v>
      </c>
      <c r="AF1372" s="1" t="s">
        <v>1915</v>
      </c>
      <c r="AG1372">
        <f t="shared" si="48"/>
        <v>0</v>
      </c>
    </row>
    <row r="1373" spans="27:33" hidden="1" x14ac:dyDescent="0.25">
      <c r="AA1373" t="s">
        <v>924</v>
      </c>
      <c r="AB1373" s="1" t="s">
        <v>7</v>
      </c>
      <c r="AC1373" s="1" t="s">
        <v>1</v>
      </c>
      <c r="AD1373" s="1" t="s">
        <v>6</v>
      </c>
      <c r="AE1373" s="1" t="s">
        <v>0</v>
      </c>
      <c r="AF1373" s="1" t="s">
        <v>11</v>
      </c>
      <c r="AG1373">
        <f t="shared" si="48"/>
        <v>0</v>
      </c>
    </row>
    <row r="1374" spans="27:33" hidden="1" x14ac:dyDescent="0.25">
      <c r="AA1374" t="s">
        <v>251</v>
      </c>
      <c r="AB1374" s="1" t="s">
        <v>1914</v>
      </c>
      <c r="AC1374" s="1" t="s">
        <v>3</v>
      </c>
      <c r="AD1374" s="1" t="s">
        <v>11</v>
      </c>
      <c r="AE1374" s="1" t="s">
        <v>12</v>
      </c>
      <c r="AF1374" s="1" t="s">
        <v>5</v>
      </c>
      <c r="AG1374">
        <f t="shared" si="48"/>
        <v>0</v>
      </c>
    </row>
    <row r="1375" spans="27:33" hidden="1" x14ac:dyDescent="0.25">
      <c r="AA1375" t="s">
        <v>976</v>
      </c>
      <c r="AB1375" s="1" t="s">
        <v>7</v>
      </c>
      <c r="AC1375" s="1" t="s">
        <v>7</v>
      </c>
      <c r="AD1375" s="1" t="s">
        <v>1</v>
      </c>
      <c r="AE1375" s="1" t="s">
        <v>1921</v>
      </c>
      <c r="AF1375" s="1" t="s">
        <v>1</v>
      </c>
      <c r="AG1375">
        <f t="shared" si="48"/>
        <v>0</v>
      </c>
    </row>
    <row r="1376" spans="27:33" hidden="1" x14ac:dyDescent="0.25">
      <c r="AA1376" t="s">
        <v>513</v>
      </c>
      <c r="AB1376" s="1" t="s">
        <v>1915</v>
      </c>
      <c r="AC1376" s="1" t="s">
        <v>1</v>
      </c>
      <c r="AD1376" s="1" t="s">
        <v>4</v>
      </c>
      <c r="AE1376" s="1" t="s">
        <v>1</v>
      </c>
      <c r="AF1376" s="1" t="s">
        <v>3</v>
      </c>
      <c r="AG1376">
        <f t="shared" si="48"/>
        <v>0</v>
      </c>
    </row>
    <row r="1377" spans="27:33" hidden="1" x14ac:dyDescent="0.25">
      <c r="AA1377" t="s">
        <v>1414</v>
      </c>
      <c r="AB1377" s="1" t="s">
        <v>9</v>
      </c>
      <c r="AC1377" s="1" t="s">
        <v>8</v>
      </c>
      <c r="AD1377" s="1" t="s">
        <v>6</v>
      </c>
      <c r="AE1377" s="1" t="s">
        <v>4</v>
      </c>
      <c r="AF1377" s="1" t="s">
        <v>5</v>
      </c>
      <c r="AG1377">
        <f t="shared" si="48"/>
        <v>0</v>
      </c>
    </row>
    <row r="1378" spans="27:33" hidden="1" x14ac:dyDescent="0.25">
      <c r="AA1378" t="s">
        <v>1631</v>
      </c>
      <c r="AB1378" s="1" t="s">
        <v>2</v>
      </c>
      <c r="AC1378" s="1" t="s">
        <v>8</v>
      </c>
      <c r="AD1378" s="1" t="s">
        <v>1915</v>
      </c>
      <c r="AE1378" s="1" t="s">
        <v>5</v>
      </c>
      <c r="AF1378" s="1" t="s">
        <v>3</v>
      </c>
      <c r="AG1378">
        <f t="shared" si="48"/>
        <v>0</v>
      </c>
    </row>
    <row r="1379" spans="27:33" hidden="1" x14ac:dyDescent="0.25">
      <c r="AA1379" t="s">
        <v>1830</v>
      </c>
      <c r="AB1379" s="1" t="s">
        <v>1919</v>
      </c>
      <c r="AC1379" s="1" t="s">
        <v>11</v>
      </c>
      <c r="AD1379" s="1" t="s">
        <v>6</v>
      </c>
      <c r="AE1379" s="1" t="s">
        <v>10</v>
      </c>
      <c r="AF1379" s="1" t="s">
        <v>1</v>
      </c>
      <c r="AG1379">
        <f t="shared" si="48"/>
        <v>0</v>
      </c>
    </row>
    <row r="1380" spans="27:33" hidden="1" x14ac:dyDescent="0.25">
      <c r="AA1380" t="s">
        <v>2290</v>
      </c>
      <c r="AB1380" s="1" t="s">
        <v>1920</v>
      </c>
      <c r="AC1380" s="1" t="s">
        <v>5</v>
      </c>
      <c r="AD1380" s="1" t="s">
        <v>4</v>
      </c>
      <c r="AE1380" s="1" t="s">
        <v>5</v>
      </c>
      <c r="AF1380" s="1" t="s">
        <v>6</v>
      </c>
      <c r="AG1380">
        <f t="shared" si="48"/>
        <v>0</v>
      </c>
    </row>
    <row r="1381" spans="27:33" hidden="1" x14ac:dyDescent="0.25">
      <c r="AA1381" t="s">
        <v>1330</v>
      </c>
      <c r="AB1381" s="1" t="s">
        <v>9</v>
      </c>
      <c r="AC1381" s="1" t="s">
        <v>10</v>
      </c>
      <c r="AD1381" s="1" t="s">
        <v>7</v>
      </c>
      <c r="AE1381" s="1" t="s">
        <v>7</v>
      </c>
      <c r="AF1381" s="1" t="s">
        <v>5</v>
      </c>
      <c r="AG1381">
        <f t="shared" si="48"/>
        <v>0</v>
      </c>
    </row>
    <row r="1382" spans="27:33" hidden="1" x14ac:dyDescent="0.25">
      <c r="AA1382" t="s">
        <v>1645</v>
      </c>
      <c r="AB1382" s="1" t="s">
        <v>4</v>
      </c>
      <c r="AC1382" s="1" t="s">
        <v>1</v>
      </c>
      <c r="AD1382" s="1" t="s">
        <v>0</v>
      </c>
      <c r="AE1382" s="1" t="s">
        <v>4</v>
      </c>
      <c r="AF1382" s="1" t="s">
        <v>5</v>
      </c>
      <c r="AG1382">
        <f t="shared" si="48"/>
        <v>0</v>
      </c>
    </row>
    <row r="1383" spans="27:33" hidden="1" x14ac:dyDescent="0.25">
      <c r="AA1383" t="s">
        <v>409</v>
      </c>
      <c r="AB1383" s="1" t="s">
        <v>0</v>
      </c>
      <c r="AC1383" s="1" t="s">
        <v>10</v>
      </c>
      <c r="AD1383" s="1" t="s">
        <v>6</v>
      </c>
      <c r="AE1383" s="1" t="s">
        <v>0</v>
      </c>
      <c r="AF1383" s="1" t="s">
        <v>5</v>
      </c>
      <c r="AG1383">
        <f t="shared" si="48"/>
        <v>0</v>
      </c>
    </row>
    <row r="1384" spans="27:33" hidden="1" x14ac:dyDescent="0.25">
      <c r="AA1384" t="s">
        <v>642</v>
      </c>
      <c r="AB1384" s="1" t="s">
        <v>1920</v>
      </c>
      <c r="AC1384" s="1" t="s">
        <v>10</v>
      </c>
      <c r="AD1384" s="1" t="s">
        <v>1915</v>
      </c>
      <c r="AE1384" s="1" t="s">
        <v>11</v>
      </c>
      <c r="AF1384" s="1" t="s">
        <v>5</v>
      </c>
      <c r="AG1384">
        <f t="shared" si="48"/>
        <v>0</v>
      </c>
    </row>
    <row r="1385" spans="27:33" hidden="1" x14ac:dyDescent="0.25">
      <c r="AA1385" t="s">
        <v>1960</v>
      </c>
      <c r="AB1385" s="1" t="s">
        <v>1921</v>
      </c>
      <c r="AC1385" s="1" t="s">
        <v>1</v>
      </c>
      <c r="AD1385" s="1" t="s">
        <v>1920</v>
      </c>
      <c r="AE1385" s="1" t="s">
        <v>1</v>
      </c>
      <c r="AF1385" s="1" t="s">
        <v>2</v>
      </c>
      <c r="AG1385">
        <f t="shared" si="48"/>
        <v>0</v>
      </c>
    </row>
    <row r="1386" spans="27:33" hidden="1" x14ac:dyDescent="0.25">
      <c r="AA1386" t="s">
        <v>1399</v>
      </c>
      <c r="AB1386" s="1" t="s">
        <v>9</v>
      </c>
      <c r="AC1386" s="1" t="s">
        <v>8</v>
      </c>
      <c r="AD1386" s="1" t="s">
        <v>1914</v>
      </c>
      <c r="AE1386" s="1" t="s">
        <v>10</v>
      </c>
      <c r="AF1386" s="1" t="s">
        <v>2</v>
      </c>
      <c r="AG1386">
        <f t="shared" si="48"/>
        <v>0</v>
      </c>
    </row>
    <row r="1387" spans="27:33" hidden="1" x14ac:dyDescent="0.25">
      <c r="AA1387" t="s">
        <v>1370</v>
      </c>
      <c r="AB1387" s="1" t="s">
        <v>9</v>
      </c>
      <c r="AC1387" s="1" t="s">
        <v>5</v>
      </c>
      <c r="AD1387" s="1" t="s">
        <v>7</v>
      </c>
      <c r="AE1387" s="1" t="s">
        <v>11</v>
      </c>
      <c r="AF1387" s="1" t="s">
        <v>1</v>
      </c>
      <c r="AG1387">
        <f t="shared" si="48"/>
        <v>0</v>
      </c>
    </row>
    <row r="1388" spans="27:33" hidden="1" x14ac:dyDescent="0.25">
      <c r="AA1388" t="s">
        <v>1477</v>
      </c>
      <c r="AB1388" s="1" t="s">
        <v>3</v>
      </c>
      <c r="AC1388" s="1" t="s">
        <v>11</v>
      </c>
      <c r="AD1388" s="1" t="s">
        <v>12</v>
      </c>
      <c r="AE1388" s="1" t="s">
        <v>1</v>
      </c>
      <c r="AF1388" s="1" t="s">
        <v>3</v>
      </c>
      <c r="AG1388">
        <f t="shared" si="48"/>
        <v>0</v>
      </c>
    </row>
    <row r="1389" spans="27:33" hidden="1" x14ac:dyDescent="0.25">
      <c r="AA1389" t="s">
        <v>1558</v>
      </c>
      <c r="AB1389" s="1" t="s">
        <v>2</v>
      </c>
      <c r="AC1389" s="1" t="s">
        <v>1</v>
      </c>
      <c r="AD1389" s="1" t="s">
        <v>1919</v>
      </c>
      <c r="AE1389" s="1" t="s">
        <v>10</v>
      </c>
      <c r="AF1389" s="1" t="s">
        <v>1</v>
      </c>
      <c r="AG1389">
        <f t="shared" si="48"/>
        <v>0</v>
      </c>
    </row>
    <row r="1390" spans="27:33" hidden="1" x14ac:dyDescent="0.25">
      <c r="AA1390" t="s">
        <v>650</v>
      </c>
      <c r="AB1390" s="1" t="s">
        <v>1920</v>
      </c>
      <c r="AC1390" s="1" t="s">
        <v>10</v>
      </c>
      <c r="AD1390" s="1" t="s">
        <v>6</v>
      </c>
      <c r="AE1390" s="1" t="s">
        <v>1915</v>
      </c>
      <c r="AF1390" s="1" t="s">
        <v>11</v>
      </c>
      <c r="AG1390">
        <f t="shared" si="48"/>
        <v>0</v>
      </c>
    </row>
    <row r="1391" spans="27:33" hidden="1" x14ac:dyDescent="0.25">
      <c r="AA1391" t="s">
        <v>2136</v>
      </c>
      <c r="AB1391" s="1" t="s">
        <v>1</v>
      </c>
      <c r="AC1391" s="1" t="s">
        <v>0</v>
      </c>
      <c r="AD1391" s="1" t="s">
        <v>1917</v>
      </c>
      <c r="AE1391" s="1" t="s">
        <v>10</v>
      </c>
      <c r="AF1391" s="1" t="s">
        <v>2</v>
      </c>
      <c r="AG1391">
        <f t="shared" si="48"/>
        <v>0</v>
      </c>
    </row>
    <row r="1392" spans="27:33" hidden="1" x14ac:dyDescent="0.25">
      <c r="AA1392" t="s">
        <v>319</v>
      </c>
      <c r="AB1392" s="1" t="s">
        <v>0</v>
      </c>
      <c r="AC1392" s="1" t="s">
        <v>1</v>
      </c>
      <c r="AD1392" s="1" t="s">
        <v>5</v>
      </c>
      <c r="AE1392" s="1" t="s">
        <v>1914</v>
      </c>
      <c r="AF1392" s="1" t="s">
        <v>1</v>
      </c>
      <c r="AG1392">
        <f t="shared" si="48"/>
        <v>0</v>
      </c>
    </row>
    <row r="1393" spans="27:33" hidden="1" x14ac:dyDescent="0.25">
      <c r="AA1393" t="s">
        <v>2007</v>
      </c>
      <c r="AB1393" s="1" t="s">
        <v>1</v>
      </c>
      <c r="AC1393" s="1" t="s">
        <v>3</v>
      </c>
      <c r="AD1393" s="1" t="s">
        <v>10</v>
      </c>
      <c r="AE1393" s="1" t="s">
        <v>1915</v>
      </c>
      <c r="AF1393" s="1" t="s">
        <v>5</v>
      </c>
      <c r="AG1393">
        <f t="shared" si="48"/>
        <v>0</v>
      </c>
    </row>
    <row r="1394" spans="27:33" hidden="1" x14ac:dyDescent="0.25">
      <c r="AA1394" t="s">
        <v>444</v>
      </c>
      <c r="AB1394" s="1" t="s">
        <v>0</v>
      </c>
      <c r="AC1394" s="1" t="s">
        <v>5</v>
      </c>
      <c r="AD1394" s="1" t="s">
        <v>13</v>
      </c>
      <c r="AE1394" s="1" t="s">
        <v>1914</v>
      </c>
      <c r="AF1394" s="1" t="s">
        <v>10</v>
      </c>
      <c r="AG1394">
        <f t="shared" si="48"/>
        <v>0</v>
      </c>
    </row>
    <row r="1395" spans="27:33" hidden="1" x14ac:dyDescent="0.25">
      <c r="AA1395" t="s">
        <v>499</v>
      </c>
      <c r="AB1395" s="1" t="s">
        <v>0</v>
      </c>
      <c r="AC1395" s="1" t="s">
        <v>8</v>
      </c>
      <c r="AD1395" s="1" t="s">
        <v>3</v>
      </c>
      <c r="AE1395" s="1" t="s">
        <v>3</v>
      </c>
      <c r="AF1395" s="1" t="s">
        <v>5</v>
      </c>
      <c r="AG1395">
        <f t="shared" si="48"/>
        <v>0</v>
      </c>
    </row>
    <row r="1396" spans="27:33" hidden="1" x14ac:dyDescent="0.25">
      <c r="AA1396" t="s">
        <v>588</v>
      </c>
      <c r="AB1396" s="1" t="s">
        <v>11</v>
      </c>
      <c r="AC1396" s="1" t="s">
        <v>1923</v>
      </c>
      <c r="AD1396" s="1" t="s">
        <v>8</v>
      </c>
      <c r="AE1396" s="1" t="s">
        <v>10</v>
      </c>
      <c r="AF1396" s="1" t="s">
        <v>2</v>
      </c>
      <c r="AG1396">
        <f t="shared" si="48"/>
        <v>0</v>
      </c>
    </row>
    <row r="1397" spans="27:33" hidden="1" x14ac:dyDescent="0.25">
      <c r="AA1397" t="s">
        <v>708</v>
      </c>
      <c r="AB1397" s="1" t="s">
        <v>1921</v>
      </c>
      <c r="AC1397" s="1" t="s">
        <v>1</v>
      </c>
      <c r="AD1397" s="1" t="s">
        <v>1920</v>
      </c>
      <c r="AE1397" s="1" t="s">
        <v>1</v>
      </c>
      <c r="AF1397" s="1" t="s">
        <v>3</v>
      </c>
      <c r="AG1397">
        <f t="shared" si="48"/>
        <v>0</v>
      </c>
    </row>
    <row r="1398" spans="27:33" hidden="1" x14ac:dyDescent="0.25">
      <c r="AA1398" t="s">
        <v>1284</v>
      </c>
      <c r="AB1398" s="1" t="s">
        <v>9</v>
      </c>
      <c r="AC1398" s="1" t="s">
        <v>1</v>
      </c>
      <c r="AD1398" s="1" t="s">
        <v>2</v>
      </c>
      <c r="AE1398" s="1" t="s">
        <v>4</v>
      </c>
      <c r="AF1398" s="1" t="s">
        <v>5</v>
      </c>
      <c r="AG1398">
        <f t="shared" si="48"/>
        <v>0</v>
      </c>
    </row>
    <row r="1399" spans="27:33" hidden="1" x14ac:dyDescent="0.25">
      <c r="AA1399" t="s">
        <v>2254</v>
      </c>
      <c r="AB1399" s="1" t="s">
        <v>15</v>
      </c>
      <c r="AC1399" s="1" t="s">
        <v>8</v>
      </c>
      <c r="AD1399" s="1" t="s">
        <v>1921</v>
      </c>
      <c r="AE1399" s="1" t="s">
        <v>5</v>
      </c>
      <c r="AF1399" s="1" t="s">
        <v>6</v>
      </c>
      <c r="AG1399">
        <f t="shared" si="48"/>
        <v>0</v>
      </c>
    </row>
    <row r="1400" spans="27:33" hidden="1" x14ac:dyDescent="0.25">
      <c r="AA1400" t="s">
        <v>1724</v>
      </c>
      <c r="AB1400" s="1" t="s">
        <v>4</v>
      </c>
      <c r="AC1400" s="1" t="s">
        <v>5</v>
      </c>
      <c r="AD1400" s="1" t="s">
        <v>7</v>
      </c>
      <c r="AE1400" s="1" t="s">
        <v>1915</v>
      </c>
      <c r="AF1400" s="1" t="s">
        <v>5</v>
      </c>
      <c r="AG1400">
        <f t="shared" si="48"/>
        <v>0</v>
      </c>
    </row>
    <row r="1401" spans="27:33" hidden="1" x14ac:dyDescent="0.25">
      <c r="AA1401" t="s">
        <v>1027</v>
      </c>
      <c r="AB1401" s="1" t="s">
        <v>13</v>
      </c>
      <c r="AC1401" s="1" t="s">
        <v>1</v>
      </c>
      <c r="AD1401" s="1" t="s">
        <v>6</v>
      </c>
      <c r="AE1401" s="1" t="s">
        <v>2</v>
      </c>
      <c r="AF1401" s="1" t="s">
        <v>5</v>
      </c>
      <c r="AG1401">
        <f t="shared" si="48"/>
        <v>0</v>
      </c>
    </row>
    <row r="1402" spans="27:33" hidden="1" x14ac:dyDescent="0.25">
      <c r="AA1402" t="s">
        <v>315</v>
      </c>
      <c r="AB1402" s="1" t="s">
        <v>0</v>
      </c>
      <c r="AC1402" s="1" t="s">
        <v>1</v>
      </c>
      <c r="AD1402" s="1" t="s">
        <v>6</v>
      </c>
      <c r="AE1402" s="1" t="s">
        <v>2</v>
      </c>
      <c r="AF1402" s="1" t="s">
        <v>1</v>
      </c>
      <c r="AG1402">
        <f t="shared" si="48"/>
        <v>0</v>
      </c>
    </row>
    <row r="1403" spans="27:33" hidden="1" x14ac:dyDescent="0.25">
      <c r="AA1403" t="s">
        <v>1236</v>
      </c>
      <c r="AB1403" s="1" t="s">
        <v>5</v>
      </c>
      <c r="AC1403" s="1" t="s">
        <v>2</v>
      </c>
      <c r="AD1403" s="1" t="s">
        <v>13</v>
      </c>
      <c r="AE1403" s="1" t="s">
        <v>10</v>
      </c>
      <c r="AF1403" s="1" t="s">
        <v>5</v>
      </c>
      <c r="AG1403">
        <f t="shared" si="48"/>
        <v>0</v>
      </c>
    </row>
    <row r="1404" spans="27:33" hidden="1" x14ac:dyDescent="0.25">
      <c r="AA1404" t="s">
        <v>347</v>
      </c>
      <c r="AB1404" s="1" t="s">
        <v>0</v>
      </c>
      <c r="AC1404" s="1" t="s">
        <v>1</v>
      </c>
      <c r="AD1404" s="1" t="s">
        <v>8</v>
      </c>
      <c r="AE1404" s="1" t="s">
        <v>4</v>
      </c>
      <c r="AF1404" s="1" t="s">
        <v>1</v>
      </c>
      <c r="AG1404">
        <f t="shared" si="48"/>
        <v>0</v>
      </c>
    </row>
    <row r="1405" spans="27:33" hidden="1" x14ac:dyDescent="0.25">
      <c r="AA1405" t="s">
        <v>709</v>
      </c>
      <c r="AB1405" s="1" t="s">
        <v>1921</v>
      </c>
      <c r="AC1405" s="1" t="s">
        <v>1</v>
      </c>
      <c r="AD1405" s="1" t="s">
        <v>10</v>
      </c>
      <c r="AE1405" s="1" t="s">
        <v>4</v>
      </c>
      <c r="AF1405" s="1" t="s">
        <v>1</v>
      </c>
      <c r="AG1405">
        <f t="shared" si="48"/>
        <v>0</v>
      </c>
    </row>
    <row r="1406" spans="27:33" hidden="1" x14ac:dyDescent="0.25">
      <c r="AA1406" t="s">
        <v>800</v>
      </c>
      <c r="AB1406" s="1" t="s">
        <v>1917</v>
      </c>
      <c r="AC1406" s="1" t="s">
        <v>1</v>
      </c>
      <c r="AD1406" s="1" t="s">
        <v>0</v>
      </c>
      <c r="AE1406" s="1" t="s">
        <v>1917</v>
      </c>
      <c r="AF1406" s="1" t="s">
        <v>11</v>
      </c>
      <c r="AG1406">
        <f t="shared" si="48"/>
        <v>0</v>
      </c>
    </row>
    <row r="1407" spans="27:33" hidden="1" x14ac:dyDescent="0.25">
      <c r="AA1407" t="s">
        <v>2144</v>
      </c>
      <c r="AB1407" s="1" t="s">
        <v>12</v>
      </c>
      <c r="AC1407" s="1" t="s">
        <v>1</v>
      </c>
      <c r="AD1407" s="1" t="s">
        <v>10</v>
      </c>
      <c r="AE1407" s="1" t="s">
        <v>6</v>
      </c>
      <c r="AF1407" s="1" t="s">
        <v>1</v>
      </c>
      <c r="AG1407">
        <f t="shared" si="48"/>
        <v>0</v>
      </c>
    </row>
    <row r="1408" spans="27:33" hidden="1" x14ac:dyDescent="0.25">
      <c r="AA1408" t="s">
        <v>842</v>
      </c>
      <c r="AB1408" s="1" t="s">
        <v>1917</v>
      </c>
      <c r="AC1408" s="1" t="s">
        <v>5</v>
      </c>
      <c r="AD1408" s="1" t="s">
        <v>4</v>
      </c>
      <c r="AE1408" s="1" t="s">
        <v>11</v>
      </c>
      <c r="AF1408" s="1" t="s">
        <v>7</v>
      </c>
      <c r="AG1408">
        <f t="shared" si="48"/>
        <v>0</v>
      </c>
    </row>
    <row r="1409" spans="27:33" hidden="1" x14ac:dyDescent="0.25">
      <c r="AA1409" t="s">
        <v>1629</v>
      </c>
      <c r="AB1409" s="1" t="s">
        <v>2</v>
      </c>
      <c r="AC1409" s="1" t="s">
        <v>8</v>
      </c>
      <c r="AD1409" s="1" t="s">
        <v>0</v>
      </c>
      <c r="AE1409" s="1" t="s">
        <v>10</v>
      </c>
      <c r="AF1409" s="1" t="s">
        <v>5</v>
      </c>
      <c r="AG1409">
        <f t="shared" si="48"/>
        <v>0</v>
      </c>
    </row>
    <row r="1410" spans="27:33" hidden="1" x14ac:dyDescent="0.25">
      <c r="AA1410" t="s">
        <v>858</v>
      </c>
      <c r="AB1410" s="1" t="s">
        <v>10</v>
      </c>
      <c r="AC1410" s="1" t="s">
        <v>1915</v>
      </c>
      <c r="AD1410" s="1" t="s">
        <v>11</v>
      </c>
      <c r="AE1410" s="1" t="s">
        <v>1</v>
      </c>
      <c r="AF1410" s="1" t="s">
        <v>7</v>
      </c>
      <c r="AG1410">
        <f t="shared" si="48"/>
        <v>0</v>
      </c>
    </row>
    <row r="1411" spans="27:33" hidden="1" x14ac:dyDescent="0.25">
      <c r="AA1411" t="s">
        <v>699</v>
      </c>
      <c r="AB1411" s="1" t="s">
        <v>1920</v>
      </c>
      <c r="AC1411" s="1" t="s">
        <v>8</v>
      </c>
      <c r="AD1411" s="1" t="s">
        <v>7</v>
      </c>
      <c r="AE1411" s="1" t="s">
        <v>1</v>
      </c>
      <c r="AF1411" s="1" t="s">
        <v>3</v>
      </c>
      <c r="AG1411">
        <f t="shared" ref="AG1411:AG1474" si="49">IF(AND(Z1411&gt;0,Z1411&lt;7),AG1410+1,0)</f>
        <v>0</v>
      </c>
    </row>
    <row r="1412" spans="27:33" hidden="1" x14ac:dyDescent="0.25">
      <c r="AA1412" t="s">
        <v>528</v>
      </c>
      <c r="AB1412" s="1" t="s">
        <v>1915</v>
      </c>
      <c r="AC1412" s="1" t="s">
        <v>10</v>
      </c>
      <c r="AD1412" s="1" t="s">
        <v>1</v>
      </c>
      <c r="AE1412" s="1" t="s">
        <v>6</v>
      </c>
      <c r="AF1412" s="1" t="s">
        <v>1</v>
      </c>
      <c r="AG1412">
        <f t="shared" si="49"/>
        <v>0</v>
      </c>
    </row>
    <row r="1413" spans="27:33" hidden="1" x14ac:dyDescent="0.25">
      <c r="AA1413" t="s">
        <v>883</v>
      </c>
      <c r="AB1413" s="1" t="s">
        <v>15</v>
      </c>
      <c r="AC1413" s="1" t="s">
        <v>1</v>
      </c>
      <c r="AD1413" s="1" t="s">
        <v>1923</v>
      </c>
      <c r="AE1413" s="1" t="s">
        <v>8</v>
      </c>
      <c r="AF1413" s="1" t="s">
        <v>11</v>
      </c>
      <c r="AG1413">
        <f t="shared" si="49"/>
        <v>0</v>
      </c>
    </row>
    <row r="1414" spans="27:33" hidden="1" x14ac:dyDescent="0.25">
      <c r="AA1414" t="s">
        <v>1793</v>
      </c>
      <c r="AB1414" s="1" t="s">
        <v>8</v>
      </c>
      <c r="AC1414" s="1" t="s">
        <v>15</v>
      </c>
      <c r="AD1414" s="1" t="s">
        <v>10</v>
      </c>
      <c r="AE1414" s="1" t="s">
        <v>11</v>
      </c>
      <c r="AF1414" s="1" t="s">
        <v>3</v>
      </c>
      <c r="AG1414">
        <f t="shared" si="49"/>
        <v>0</v>
      </c>
    </row>
    <row r="1415" spans="27:33" hidden="1" x14ac:dyDescent="0.25">
      <c r="AA1415" t="s">
        <v>2079</v>
      </c>
      <c r="AB1415" s="1" t="s">
        <v>1917</v>
      </c>
      <c r="AC1415" s="1" t="s">
        <v>11</v>
      </c>
      <c r="AD1415" s="1" t="s">
        <v>3</v>
      </c>
      <c r="AE1415" s="1" t="s">
        <v>5</v>
      </c>
      <c r="AF1415" s="1" t="s">
        <v>11</v>
      </c>
      <c r="AG1415">
        <f t="shared" si="49"/>
        <v>0</v>
      </c>
    </row>
    <row r="1416" spans="27:33" hidden="1" x14ac:dyDescent="0.25">
      <c r="AA1416" t="s">
        <v>1838</v>
      </c>
      <c r="AB1416" s="1" t="s">
        <v>1919</v>
      </c>
      <c r="AC1416" s="1" t="s">
        <v>11</v>
      </c>
      <c r="AD1416" s="1" t="s">
        <v>3</v>
      </c>
      <c r="AE1416" s="1" t="s">
        <v>15</v>
      </c>
      <c r="AF1416" s="1" t="s">
        <v>1</v>
      </c>
      <c r="AG1416">
        <f t="shared" si="49"/>
        <v>0</v>
      </c>
    </row>
    <row r="1417" spans="27:33" hidden="1" x14ac:dyDescent="0.25">
      <c r="AA1417" t="s">
        <v>2124</v>
      </c>
      <c r="AB1417" s="1" t="s">
        <v>2</v>
      </c>
      <c r="AC1417" s="1" t="s">
        <v>10</v>
      </c>
      <c r="AD1417" s="1" t="s">
        <v>7</v>
      </c>
      <c r="AE1417" s="1" t="s">
        <v>11</v>
      </c>
      <c r="AF1417" s="1" t="s">
        <v>1922</v>
      </c>
      <c r="AG1417">
        <f t="shared" si="49"/>
        <v>0</v>
      </c>
    </row>
    <row r="1418" spans="27:33" hidden="1" x14ac:dyDescent="0.25">
      <c r="AA1418" t="s">
        <v>1034</v>
      </c>
      <c r="AB1418" s="1" t="s">
        <v>13</v>
      </c>
      <c r="AC1418" s="1" t="s">
        <v>1</v>
      </c>
      <c r="AD1418" s="1" t="s">
        <v>3</v>
      </c>
      <c r="AE1418" s="1" t="s">
        <v>11</v>
      </c>
      <c r="AF1418" s="1" t="s">
        <v>1</v>
      </c>
      <c r="AG1418">
        <f t="shared" si="49"/>
        <v>0</v>
      </c>
    </row>
    <row r="1419" spans="27:33" hidden="1" x14ac:dyDescent="0.25">
      <c r="AA1419" t="s">
        <v>1668</v>
      </c>
      <c r="AB1419" s="1" t="s">
        <v>4</v>
      </c>
      <c r="AC1419" s="1" t="s">
        <v>1</v>
      </c>
      <c r="AD1419" s="1" t="s">
        <v>3</v>
      </c>
      <c r="AE1419" s="1" t="s">
        <v>11</v>
      </c>
      <c r="AF1419" s="1" t="s">
        <v>1</v>
      </c>
      <c r="AG1419">
        <f t="shared" si="49"/>
        <v>0</v>
      </c>
    </row>
    <row r="1420" spans="27:33" hidden="1" x14ac:dyDescent="0.25">
      <c r="AA1420" t="s">
        <v>257</v>
      </c>
      <c r="AB1420" s="1" t="s">
        <v>1914</v>
      </c>
      <c r="AC1420" s="1" t="s">
        <v>3</v>
      </c>
      <c r="AD1420" s="1" t="s">
        <v>5</v>
      </c>
      <c r="AE1420" s="1" t="s">
        <v>4</v>
      </c>
      <c r="AF1420" s="1" t="s">
        <v>11</v>
      </c>
      <c r="AG1420">
        <f t="shared" si="49"/>
        <v>0</v>
      </c>
    </row>
    <row r="1421" spans="27:33" hidden="1" x14ac:dyDescent="0.25">
      <c r="AA1421" t="s">
        <v>1007</v>
      </c>
      <c r="AB1421" s="1" t="s">
        <v>13</v>
      </c>
      <c r="AC1421" s="1" t="s">
        <v>1</v>
      </c>
      <c r="AD1421" s="1" t="s">
        <v>1921</v>
      </c>
      <c r="AE1421" s="1" t="s">
        <v>13</v>
      </c>
      <c r="AF1421" s="1" t="s">
        <v>1</v>
      </c>
      <c r="AG1421">
        <f t="shared" si="49"/>
        <v>0</v>
      </c>
    </row>
    <row r="1422" spans="27:33" hidden="1" x14ac:dyDescent="0.25">
      <c r="AA1422" t="s">
        <v>1883</v>
      </c>
      <c r="AB1422" s="1" t="s">
        <v>1918</v>
      </c>
      <c r="AC1422" s="1" t="s">
        <v>11</v>
      </c>
      <c r="AD1422" s="1" t="s">
        <v>1915</v>
      </c>
      <c r="AE1422" s="1" t="s">
        <v>3</v>
      </c>
      <c r="AF1422" s="1" t="s">
        <v>1</v>
      </c>
      <c r="AG1422">
        <f t="shared" si="49"/>
        <v>0</v>
      </c>
    </row>
    <row r="1423" spans="27:33" hidden="1" x14ac:dyDescent="0.25">
      <c r="AA1423" t="s">
        <v>1153</v>
      </c>
      <c r="AB1423" s="1" t="s">
        <v>6</v>
      </c>
      <c r="AC1423" s="1" t="s">
        <v>1</v>
      </c>
      <c r="AD1423" s="1" t="s">
        <v>1919</v>
      </c>
      <c r="AE1423" s="1" t="s">
        <v>1</v>
      </c>
      <c r="AF1423" s="1" t="s">
        <v>7</v>
      </c>
      <c r="AG1423">
        <f t="shared" si="49"/>
        <v>0</v>
      </c>
    </row>
    <row r="1424" spans="27:33" hidden="1" x14ac:dyDescent="0.25">
      <c r="AA1424" t="s">
        <v>981</v>
      </c>
      <c r="AB1424" s="1" t="s">
        <v>7</v>
      </c>
      <c r="AC1424" s="1" t="s">
        <v>7</v>
      </c>
      <c r="AD1424" s="1" t="s">
        <v>11</v>
      </c>
      <c r="AE1424" s="1" t="s">
        <v>6</v>
      </c>
      <c r="AF1424" s="1" t="s">
        <v>1</v>
      </c>
      <c r="AG1424">
        <f t="shared" si="49"/>
        <v>0</v>
      </c>
    </row>
    <row r="1425" spans="27:33" hidden="1" x14ac:dyDescent="0.25">
      <c r="AA1425" t="s">
        <v>2207</v>
      </c>
      <c r="AB1425" s="1" t="s">
        <v>1922</v>
      </c>
      <c r="AC1425" s="1" t="s">
        <v>11</v>
      </c>
      <c r="AD1425" s="1" t="s">
        <v>6</v>
      </c>
      <c r="AE1425" s="1" t="s">
        <v>5</v>
      </c>
      <c r="AF1425" s="1" t="s">
        <v>6</v>
      </c>
      <c r="AG1425">
        <f t="shared" si="49"/>
        <v>0</v>
      </c>
    </row>
    <row r="1426" spans="27:33" hidden="1" x14ac:dyDescent="0.25">
      <c r="AA1426" t="s">
        <v>1965</v>
      </c>
      <c r="AB1426" s="1" t="s">
        <v>13</v>
      </c>
      <c r="AC1426" s="1" t="s">
        <v>10</v>
      </c>
      <c r="AD1426" s="1" t="s">
        <v>3</v>
      </c>
      <c r="AE1426" s="1" t="s">
        <v>1</v>
      </c>
      <c r="AF1426" s="1" t="s">
        <v>2</v>
      </c>
      <c r="AG1426">
        <f t="shared" si="49"/>
        <v>0</v>
      </c>
    </row>
    <row r="1427" spans="27:33" hidden="1" x14ac:dyDescent="0.25">
      <c r="AA1427" t="s">
        <v>1989</v>
      </c>
      <c r="AB1427" s="1" t="s">
        <v>13</v>
      </c>
      <c r="AC1427" s="1" t="s">
        <v>1</v>
      </c>
      <c r="AD1427" s="1" t="s">
        <v>2</v>
      </c>
      <c r="AE1427" s="1" t="s">
        <v>1</v>
      </c>
      <c r="AF1427" s="1" t="s">
        <v>10</v>
      </c>
      <c r="AG1427">
        <f t="shared" si="49"/>
        <v>0</v>
      </c>
    </row>
    <row r="1428" spans="27:33" hidden="1" x14ac:dyDescent="0.25">
      <c r="AA1428" t="s">
        <v>712</v>
      </c>
      <c r="AB1428" s="1" t="s">
        <v>1921</v>
      </c>
      <c r="AC1428" s="1" t="s">
        <v>1</v>
      </c>
      <c r="AD1428" s="1" t="s">
        <v>7</v>
      </c>
      <c r="AE1428" s="1" t="s">
        <v>10</v>
      </c>
      <c r="AF1428" s="1" t="s">
        <v>5</v>
      </c>
      <c r="AG1428">
        <f t="shared" si="49"/>
        <v>0</v>
      </c>
    </row>
    <row r="1429" spans="27:33" hidden="1" x14ac:dyDescent="0.25">
      <c r="AA1429" t="s">
        <v>2105</v>
      </c>
      <c r="AB1429" s="1" t="s">
        <v>11</v>
      </c>
      <c r="AC1429" s="1" t="s">
        <v>2</v>
      </c>
      <c r="AD1429" s="1" t="s">
        <v>1923</v>
      </c>
      <c r="AE1429" s="1" t="s">
        <v>8</v>
      </c>
      <c r="AF1429" s="1" t="s">
        <v>10</v>
      </c>
      <c r="AG1429">
        <f t="shared" si="49"/>
        <v>0</v>
      </c>
    </row>
    <row r="1430" spans="27:33" hidden="1" x14ac:dyDescent="0.25">
      <c r="AA1430" t="s">
        <v>1293</v>
      </c>
      <c r="AB1430" s="1" t="s">
        <v>9</v>
      </c>
      <c r="AC1430" s="1" t="s">
        <v>11</v>
      </c>
      <c r="AD1430" s="1" t="s">
        <v>0</v>
      </c>
      <c r="AE1430" s="1" t="s">
        <v>1</v>
      </c>
      <c r="AF1430" s="1" t="s">
        <v>3</v>
      </c>
      <c r="AG1430">
        <f t="shared" si="49"/>
        <v>0</v>
      </c>
    </row>
    <row r="1431" spans="27:33" hidden="1" x14ac:dyDescent="0.25">
      <c r="AA1431" t="s">
        <v>1317</v>
      </c>
      <c r="AB1431" s="1" t="s">
        <v>9</v>
      </c>
      <c r="AC1431" s="1" t="s">
        <v>11</v>
      </c>
      <c r="AD1431" s="1" t="s">
        <v>2</v>
      </c>
      <c r="AE1431" s="1" t="s">
        <v>0</v>
      </c>
      <c r="AF1431" s="1" t="s">
        <v>1</v>
      </c>
      <c r="AG1431">
        <f t="shared" si="49"/>
        <v>0</v>
      </c>
    </row>
    <row r="1432" spans="27:33" hidden="1" x14ac:dyDescent="0.25">
      <c r="AA1432" t="s">
        <v>864</v>
      </c>
      <c r="AB1432" s="1" t="s">
        <v>10</v>
      </c>
      <c r="AC1432" s="1" t="s">
        <v>7</v>
      </c>
      <c r="AD1432" s="1" t="s">
        <v>8</v>
      </c>
      <c r="AE1432" s="1" t="s">
        <v>2</v>
      </c>
      <c r="AF1432" s="1" t="s">
        <v>1</v>
      </c>
      <c r="AG1432">
        <f t="shared" si="49"/>
        <v>0</v>
      </c>
    </row>
    <row r="1433" spans="27:33" hidden="1" x14ac:dyDescent="0.25">
      <c r="AA1433" t="s">
        <v>1732</v>
      </c>
      <c r="AB1433" s="1" t="s">
        <v>4</v>
      </c>
      <c r="AC1433" s="1" t="s">
        <v>5</v>
      </c>
      <c r="AD1433" s="1" t="s">
        <v>9</v>
      </c>
      <c r="AE1433" s="1" t="s">
        <v>1</v>
      </c>
      <c r="AF1433" s="1" t="s">
        <v>3</v>
      </c>
      <c r="AG1433">
        <f t="shared" si="49"/>
        <v>0</v>
      </c>
    </row>
    <row r="1434" spans="27:33" hidden="1" x14ac:dyDescent="0.25">
      <c r="AA1434" t="s">
        <v>1699</v>
      </c>
      <c r="AB1434" s="1" t="s">
        <v>4</v>
      </c>
      <c r="AC1434" s="1" t="s">
        <v>11</v>
      </c>
      <c r="AD1434" s="1" t="s">
        <v>3</v>
      </c>
      <c r="AE1434" s="1" t="s">
        <v>6</v>
      </c>
      <c r="AF1434" s="1" t="s">
        <v>1</v>
      </c>
      <c r="AG1434">
        <f t="shared" si="49"/>
        <v>0</v>
      </c>
    </row>
    <row r="1435" spans="27:33" hidden="1" x14ac:dyDescent="0.25">
      <c r="AA1435" t="s">
        <v>1566</v>
      </c>
      <c r="AB1435" s="1" t="s">
        <v>2</v>
      </c>
      <c r="AC1435" s="1" t="s">
        <v>11</v>
      </c>
      <c r="AD1435" s="1" t="s">
        <v>7</v>
      </c>
      <c r="AE1435" s="1" t="s">
        <v>1919</v>
      </c>
      <c r="AF1435" s="1" t="s">
        <v>1</v>
      </c>
      <c r="AG1435">
        <f t="shared" si="49"/>
        <v>0</v>
      </c>
    </row>
    <row r="1436" spans="27:33" hidden="1" x14ac:dyDescent="0.25">
      <c r="AA1436" t="s">
        <v>829</v>
      </c>
      <c r="AB1436" s="1" t="s">
        <v>1917</v>
      </c>
      <c r="AC1436" s="1" t="s">
        <v>5</v>
      </c>
      <c r="AD1436" s="1" t="s">
        <v>1921</v>
      </c>
      <c r="AE1436" s="1" t="s">
        <v>1</v>
      </c>
      <c r="AF1436" s="1" t="s">
        <v>3</v>
      </c>
      <c r="AG1436">
        <f t="shared" si="49"/>
        <v>0</v>
      </c>
    </row>
    <row r="1437" spans="27:33" hidden="1" x14ac:dyDescent="0.25">
      <c r="AA1437" t="s">
        <v>874</v>
      </c>
      <c r="AB1437" s="1" t="s">
        <v>10</v>
      </c>
      <c r="AC1437" s="1" t="s">
        <v>12</v>
      </c>
      <c r="AD1437" s="1" t="s">
        <v>1</v>
      </c>
      <c r="AE1437" s="1" t="s">
        <v>1915</v>
      </c>
      <c r="AF1437" s="1" t="s">
        <v>1</v>
      </c>
      <c r="AG1437">
        <f t="shared" si="49"/>
        <v>0</v>
      </c>
    </row>
    <row r="1438" spans="27:33" hidden="1" x14ac:dyDescent="0.25">
      <c r="AA1438" t="s">
        <v>1403</v>
      </c>
      <c r="AB1438" s="1" t="s">
        <v>9</v>
      </c>
      <c r="AC1438" s="1" t="s">
        <v>8</v>
      </c>
      <c r="AD1438" s="1" t="s">
        <v>15</v>
      </c>
      <c r="AE1438" s="1" t="s">
        <v>1</v>
      </c>
      <c r="AF1438" s="1" t="s">
        <v>3</v>
      </c>
      <c r="AG1438">
        <f t="shared" si="49"/>
        <v>0</v>
      </c>
    </row>
    <row r="1439" spans="27:33" hidden="1" x14ac:dyDescent="0.25">
      <c r="AA1439" t="s">
        <v>187</v>
      </c>
      <c r="AB1439" s="1" t="s">
        <v>1914</v>
      </c>
      <c r="AC1439" s="1" t="s">
        <v>1</v>
      </c>
      <c r="AD1439" s="1" t="s">
        <v>4</v>
      </c>
      <c r="AE1439" s="1" t="s">
        <v>11</v>
      </c>
      <c r="AF1439" s="1" t="s">
        <v>1</v>
      </c>
      <c r="AG1439">
        <f t="shared" si="49"/>
        <v>0</v>
      </c>
    </row>
    <row r="1440" spans="27:33" hidden="1" x14ac:dyDescent="0.25">
      <c r="AA1440" t="s">
        <v>1482</v>
      </c>
      <c r="AB1440" s="1" t="s">
        <v>3</v>
      </c>
      <c r="AC1440" s="1" t="s">
        <v>10</v>
      </c>
      <c r="AD1440" s="1" t="s">
        <v>1921</v>
      </c>
      <c r="AE1440" s="1" t="s">
        <v>5</v>
      </c>
      <c r="AF1440" s="1" t="s">
        <v>3</v>
      </c>
      <c r="AG1440">
        <f t="shared" si="49"/>
        <v>0</v>
      </c>
    </row>
    <row r="1441" spans="27:33" hidden="1" x14ac:dyDescent="0.25">
      <c r="AA1441" t="s">
        <v>830</v>
      </c>
      <c r="AB1441" s="1" t="s">
        <v>1917</v>
      </c>
      <c r="AC1441" s="1" t="s">
        <v>5</v>
      </c>
      <c r="AD1441" s="1" t="s">
        <v>6</v>
      </c>
      <c r="AE1441" s="1" t="s">
        <v>1915</v>
      </c>
      <c r="AF1441" s="1" t="s">
        <v>1</v>
      </c>
      <c r="AG1441">
        <f t="shared" si="49"/>
        <v>0</v>
      </c>
    </row>
    <row r="1442" spans="27:33" hidden="1" x14ac:dyDescent="0.25">
      <c r="AA1442" t="s">
        <v>616</v>
      </c>
      <c r="AB1442" s="1" t="s">
        <v>1920</v>
      </c>
      <c r="AC1442" s="1" t="s">
        <v>1</v>
      </c>
      <c r="AD1442" s="1" t="s">
        <v>3</v>
      </c>
      <c r="AE1442" s="1" t="s">
        <v>1915</v>
      </c>
      <c r="AF1442" s="1" t="s">
        <v>5</v>
      </c>
      <c r="AG1442">
        <f t="shared" si="49"/>
        <v>0</v>
      </c>
    </row>
    <row r="1443" spans="27:33" hidden="1" x14ac:dyDescent="0.25">
      <c r="AA1443" t="s">
        <v>1389</v>
      </c>
      <c r="AB1443" s="1" t="s">
        <v>9</v>
      </c>
      <c r="AC1443" s="1" t="s">
        <v>3</v>
      </c>
      <c r="AD1443" s="1" t="s">
        <v>1</v>
      </c>
      <c r="AE1443" s="1" t="s">
        <v>1915</v>
      </c>
      <c r="AF1443" s="1" t="s">
        <v>5</v>
      </c>
      <c r="AG1443">
        <f t="shared" si="49"/>
        <v>0</v>
      </c>
    </row>
    <row r="1444" spans="27:33" hidden="1" x14ac:dyDescent="0.25">
      <c r="AA1444" t="s">
        <v>1750</v>
      </c>
      <c r="AB1444" s="1" t="s">
        <v>4</v>
      </c>
      <c r="AC1444" s="1" t="s">
        <v>3</v>
      </c>
      <c r="AD1444" s="1" t="s">
        <v>1</v>
      </c>
      <c r="AE1444" s="1" t="s">
        <v>11</v>
      </c>
      <c r="AF1444" s="1" t="s">
        <v>3</v>
      </c>
      <c r="AG1444">
        <f t="shared" si="49"/>
        <v>0</v>
      </c>
    </row>
    <row r="1445" spans="27:33" hidden="1" x14ac:dyDescent="0.25">
      <c r="AA1445" t="s">
        <v>516</v>
      </c>
      <c r="AB1445" s="1" t="s">
        <v>1915</v>
      </c>
      <c r="AC1445" s="1" t="s">
        <v>11</v>
      </c>
      <c r="AD1445" s="1" t="s">
        <v>0</v>
      </c>
      <c r="AE1445" s="1" t="s">
        <v>10</v>
      </c>
      <c r="AF1445" s="1" t="s">
        <v>3</v>
      </c>
      <c r="AG1445">
        <f t="shared" si="49"/>
        <v>0</v>
      </c>
    </row>
    <row r="1446" spans="27:33" hidden="1" x14ac:dyDescent="0.25">
      <c r="AA1446" t="s">
        <v>301</v>
      </c>
      <c r="AB1446" s="1" t="s">
        <v>0</v>
      </c>
      <c r="AC1446" s="1" t="s">
        <v>1</v>
      </c>
      <c r="AD1446" s="1" t="s">
        <v>7</v>
      </c>
      <c r="AE1446" s="1" t="s">
        <v>13</v>
      </c>
      <c r="AF1446" s="1" t="s">
        <v>1</v>
      </c>
      <c r="AG1446">
        <f t="shared" si="49"/>
        <v>0</v>
      </c>
    </row>
    <row r="1447" spans="27:33" hidden="1" x14ac:dyDescent="0.25">
      <c r="AA1447" t="s">
        <v>337</v>
      </c>
      <c r="AB1447" s="1" t="s">
        <v>0</v>
      </c>
      <c r="AC1447" s="1" t="s">
        <v>1</v>
      </c>
      <c r="AD1447" s="1" t="s">
        <v>2</v>
      </c>
      <c r="AE1447" s="1" t="s">
        <v>0</v>
      </c>
      <c r="AF1447" s="1" t="s">
        <v>5</v>
      </c>
      <c r="AG1447">
        <f t="shared" si="49"/>
        <v>0</v>
      </c>
    </row>
    <row r="1448" spans="27:33" hidden="1" x14ac:dyDescent="0.25">
      <c r="AA1448" t="s">
        <v>359</v>
      </c>
      <c r="AB1448" s="1" t="s">
        <v>0</v>
      </c>
      <c r="AC1448" s="1" t="s">
        <v>11</v>
      </c>
      <c r="AD1448" s="1" t="s">
        <v>7</v>
      </c>
      <c r="AE1448" s="1" t="s">
        <v>4</v>
      </c>
      <c r="AF1448" s="1" t="s">
        <v>1</v>
      </c>
      <c r="AG1448">
        <f t="shared" si="49"/>
        <v>0</v>
      </c>
    </row>
    <row r="1449" spans="27:33" hidden="1" x14ac:dyDescent="0.25">
      <c r="AA1449" t="s">
        <v>1074</v>
      </c>
      <c r="AB1449" s="1" t="s">
        <v>13</v>
      </c>
      <c r="AC1449" s="1" t="s">
        <v>10</v>
      </c>
      <c r="AD1449" s="1" t="s">
        <v>1921</v>
      </c>
      <c r="AE1449" s="1" t="s">
        <v>1</v>
      </c>
      <c r="AF1449" s="1" t="s">
        <v>3</v>
      </c>
      <c r="AG1449">
        <f t="shared" si="49"/>
        <v>0</v>
      </c>
    </row>
    <row r="1450" spans="27:33" hidden="1" x14ac:dyDescent="0.25">
      <c r="AA1450" t="s">
        <v>743</v>
      </c>
      <c r="AB1450" s="1" t="s">
        <v>1921</v>
      </c>
      <c r="AC1450" s="1" t="s">
        <v>5</v>
      </c>
      <c r="AD1450" s="1" t="s">
        <v>7</v>
      </c>
      <c r="AE1450" s="1" t="s">
        <v>1920</v>
      </c>
      <c r="AF1450" s="1" t="s">
        <v>5</v>
      </c>
      <c r="AG1450">
        <f t="shared" si="49"/>
        <v>0</v>
      </c>
    </row>
    <row r="1451" spans="27:33" hidden="1" x14ac:dyDescent="0.25">
      <c r="AA1451" t="s">
        <v>2046</v>
      </c>
      <c r="AB1451" s="1" t="s">
        <v>11</v>
      </c>
      <c r="AC1451" s="1" t="s">
        <v>6</v>
      </c>
      <c r="AD1451" s="1" t="s">
        <v>1919</v>
      </c>
      <c r="AE1451" s="1" t="s">
        <v>11</v>
      </c>
      <c r="AF1451" s="1" t="s">
        <v>2</v>
      </c>
      <c r="AG1451">
        <f t="shared" si="49"/>
        <v>0</v>
      </c>
    </row>
    <row r="1452" spans="27:33" hidden="1" x14ac:dyDescent="0.25">
      <c r="AA1452" t="s">
        <v>1078</v>
      </c>
      <c r="AB1452" s="1" t="s">
        <v>13</v>
      </c>
      <c r="AC1452" s="1" t="s">
        <v>10</v>
      </c>
      <c r="AD1452" s="1" t="s">
        <v>5</v>
      </c>
      <c r="AE1452" s="1" t="s">
        <v>13</v>
      </c>
      <c r="AF1452" s="1" t="s">
        <v>1</v>
      </c>
      <c r="AG1452">
        <f t="shared" si="49"/>
        <v>0</v>
      </c>
    </row>
    <row r="1453" spans="27:33" hidden="1" x14ac:dyDescent="0.25">
      <c r="AA1453" t="s">
        <v>2012</v>
      </c>
      <c r="AB1453" s="1" t="s">
        <v>0</v>
      </c>
      <c r="AC1453" s="1" t="s">
        <v>1</v>
      </c>
      <c r="AD1453" s="1" t="s">
        <v>7</v>
      </c>
      <c r="AE1453" s="1" t="s">
        <v>10</v>
      </c>
      <c r="AF1453" s="1" t="s">
        <v>12</v>
      </c>
      <c r="AG1453">
        <f t="shared" si="49"/>
        <v>0</v>
      </c>
    </row>
    <row r="1454" spans="27:33" hidden="1" x14ac:dyDescent="0.25">
      <c r="AA1454" t="s">
        <v>17</v>
      </c>
      <c r="AB1454" s="1" t="s">
        <v>1</v>
      </c>
      <c r="AC1454" s="1" t="s">
        <v>1914</v>
      </c>
      <c r="AD1454" s="1" t="s">
        <v>1</v>
      </c>
      <c r="AE1454" s="1" t="s">
        <v>6</v>
      </c>
      <c r="AF1454" s="1" t="s">
        <v>5</v>
      </c>
      <c r="AG1454">
        <f t="shared" si="49"/>
        <v>0</v>
      </c>
    </row>
    <row r="1455" spans="27:33" hidden="1" x14ac:dyDescent="0.25">
      <c r="AA1455" t="s">
        <v>831</v>
      </c>
      <c r="AB1455" s="1" t="s">
        <v>1917</v>
      </c>
      <c r="AC1455" s="1" t="s">
        <v>5</v>
      </c>
      <c r="AD1455" s="1" t="s">
        <v>6</v>
      </c>
      <c r="AE1455" s="1" t="s">
        <v>1915</v>
      </c>
      <c r="AF1455" s="1" t="s">
        <v>5</v>
      </c>
      <c r="AG1455">
        <f t="shared" si="49"/>
        <v>0</v>
      </c>
    </row>
    <row r="1456" spans="27:33" hidden="1" x14ac:dyDescent="0.25">
      <c r="AA1456" t="s">
        <v>364</v>
      </c>
      <c r="AB1456" s="1" t="s">
        <v>0</v>
      </c>
      <c r="AC1456" s="1" t="s">
        <v>11</v>
      </c>
      <c r="AD1456" s="1" t="s">
        <v>3</v>
      </c>
      <c r="AE1456" s="1" t="s">
        <v>0</v>
      </c>
      <c r="AF1456" s="1" t="s">
        <v>5</v>
      </c>
      <c r="AG1456">
        <f t="shared" si="49"/>
        <v>0</v>
      </c>
    </row>
    <row r="1457" spans="27:33" hidden="1" x14ac:dyDescent="0.25">
      <c r="AA1457" t="s">
        <v>151</v>
      </c>
      <c r="AB1457" s="1" t="s">
        <v>1</v>
      </c>
      <c r="AC1457" s="1" t="s">
        <v>1918</v>
      </c>
      <c r="AD1457" s="1" t="s">
        <v>8</v>
      </c>
      <c r="AE1457" s="1" t="s">
        <v>6</v>
      </c>
      <c r="AF1457" s="1" t="s">
        <v>5</v>
      </c>
      <c r="AG1457">
        <f t="shared" si="49"/>
        <v>0</v>
      </c>
    </row>
    <row r="1458" spans="27:33" hidden="1" x14ac:dyDescent="0.25">
      <c r="AA1458" t="s">
        <v>403</v>
      </c>
      <c r="AB1458" s="1" t="s">
        <v>0</v>
      </c>
      <c r="AC1458" s="1" t="s">
        <v>10</v>
      </c>
      <c r="AD1458" s="1" t="s">
        <v>0</v>
      </c>
      <c r="AE1458" s="1" t="s">
        <v>7</v>
      </c>
      <c r="AF1458" s="1" t="s">
        <v>5</v>
      </c>
      <c r="AG1458">
        <f t="shared" si="49"/>
        <v>0</v>
      </c>
    </row>
    <row r="1459" spans="27:33" hidden="1" x14ac:dyDescent="0.25">
      <c r="AA1459" t="s">
        <v>203</v>
      </c>
      <c r="AB1459" s="1" t="s">
        <v>1914</v>
      </c>
      <c r="AC1459" s="1" t="s">
        <v>11</v>
      </c>
      <c r="AD1459" s="1" t="s">
        <v>3</v>
      </c>
      <c r="AE1459" s="1" t="s">
        <v>3</v>
      </c>
      <c r="AF1459" s="1" t="s">
        <v>5</v>
      </c>
      <c r="AG1459">
        <f t="shared" si="49"/>
        <v>0</v>
      </c>
    </row>
    <row r="1460" spans="27:33" hidden="1" x14ac:dyDescent="0.25">
      <c r="AA1460" t="s">
        <v>439</v>
      </c>
      <c r="AB1460" s="1" t="s">
        <v>0</v>
      </c>
      <c r="AC1460" s="1" t="s">
        <v>5</v>
      </c>
      <c r="AD1460" s="1" t="s">
        <v>7</v>
      </c>
      <c r="AE1460" s="1" t="s">
        <v>13</v>
      </c>
      <c r="AF1460" s="1" t="s">
        <v>5</v>
      </c>
      <c r="AG1460">
        <f t="shared" si="49"/>
        <v>0</v>
      </c>
    </row>
    <row r="1461" spans="27:33" hidden="1" x14ac:dyDescent="0.25">
      <c r="AA1461" t="s">
        <v>1749</v>
      </c>
      <c r="AB1461" s="1" t="s">
        <v>4</v>
      </c>
      <c r="AC1461" s="1" t="s">
        <v>3</v>
      </c>
      <c r="AD1461" s="1" t="s">
        <v>1</v>
      </c>
      <c r="AE1461" s="1" t="s">
        <v>0</v>
      </c>
      <c r="AF1461" s="1" t="s">
        <v>1</v>
      </c>
      <c r="AG1461">
        <f t="shared" si="49"/>
        <v>0</v>
      </c>
    </row>
    <row r="1462" spans="27:33" hidden="1" x14ac:dyDescent="0.25">
      <c r="AA1462" t="s">
        <v>2027</v>
      </c>
      <c r="AB1462" s="1" t="s">
        <v>1</v>
      </c>
      <c r="AC1462" s="1" t="s">
        <v>1919</v>
      </c>
      <c r="AD1462" s="1" t="s">
        <v>10</v>
      </c>
      <c r="AE1462" s="1" t="s">
        <v>1915</v>
      </c>
      <c r="AF1462" s="1" t="s">
        <v>5</v>
      </c>
      <c r="AG1462">
        <f t="shared" si="49"/>
        <v>0</v>
      </c>
    </row>
    <row r="1463" spans="27:33" hidden="1" x14ac:dyDescent="0.25">
      <c r="AA1463" t="s">
        <v>273</v>
      </c>
      <c r="AB1463" s="1" t="s">
        <v>1914</v>
      </c>
      <c r="AC1463" s="1" t="s">
        <v>8</v>
      </c>
      <c r="AD1463" s="1" t="s">
        <v>7</v>
      </c>
      <c r="AE1463" s="1" t="s">
        <v>4</v>
      </c>
      <c r="AF1463" s="1" t="s">
        <v>5</v>
      </c>
      <c r="AG1463">
        <f t="shared" si="49"/>
        <v>0</v>
      </c>
    </row>
    <row r="1464" spans="27:33" hidden="1" x14ac:dyDescent="0.25">
      <c r="AA1464" t="s">
        <v>732</v>
      </c>
      <c r="AB1464" s="1" t="s">
        <v>1921</v>
      </c>
      <c r="AC1464" s="1" t="s">
        <v>11</v>
      </c>
      <c r="AD1464" s="1" t="s">
        <v>2</v>
      </c>
      <c r="AE1464" s="1" t="s">
        <v>4</v>
      </c>
      <c r="AF1464" s="1" t="s">
        <v>5</v>
      </c>
      <c r="AG1464">
        <f t="shared" si="49"/>
        <v>0</v>
      </c>
    </row>
    <row r="1465" spans="27:33" hidden="1" x14ac:dyDescent="0.25">
      <c r="AA1465" t="s">
        <v>1873</v>
      </c>
      <c r="AB1465" s="1" t="s">
        <v>1919</v>
      </c>
      <c r="AC1465" s="1" t="s">
        <v>5</v>
      </c>
      <c r="AD1465" s="1" t="s">
        <v>7</v>
      </c>
      <c r="AE1465" s="1" t="s">
        <v>11</v>
      </c>
      <c r="AF1465" s="1" t="s">
        <v>5</v>
      </c>
      <c r="AG1465">
        <f t="shared" si="49"/>
        <v>0</v>
      </c>
    </row>
    <row r="1466" spans="27:33" hidden="1" x14ac:dyDescent="0.25">
      <c r="AA1466" t="s">
        <v>1091</v>
      </c>
      <c r="AB1466" s="1" t="s">
        <v>13</v>
      </c>
      <c r="AC1466" s="1" t="s">
        <v>10</v>
      </c>
      <c r="AD1466" s="1" t="s">
        <v>1922</v>
      </c>
      <c r="AE1466" s="1" t="s">
        <v>4</v>
      </c>
      <c r="AF1466" s="1" t="s">
        <v>1</v>
      </c>
      <c r="AG1466">
        <f t="shared" si="49"/>
        <v>0</v>
      </c>
    </row>
    <row r="1467" spans="27:33" hidden="1" x14ac:dyDescent="0.25">
      <c r="AA1467" t="s">
        <v>426</v>
      </c>
      <c r="AB1467" s="1" t="s">
        <v>0</v>
      </c>
      <c r="AC1467" s="1" t="s">
        <v>7</v>
      </c>
      <c r="AD1467" s="1" t="s">
        <v>11</v>
      </c>
      <c r="AE1467" s="1" t="s">
        <v>3</v>
      </c>
      <c r="AF1467" s="1" t="s">
        <v>5</v>
      </c>
      <c r="AG1467">
        <f t="shared" si="49"/>
        <v>0</v>
      </c>
    </row>
    <row r="1468" spans="27:33" hidden="1" x14ac:dyDescent="0.25">
      <c r="AA1468" t="s">
        <v>668</v>
      </c>
      <c r="AB1468" s="1" t="s">
        <v>1920</v>
      </c>
      <c r="AC1468" s="1" t="s">
        <v>7</v>
      </c>
      <c r="AD1468" s="1" t="s">
        <v>5</v>
      </c>
      <c r="AE1468" s="1" t="s">
        <v>3</v>
      </c>
      <c r="AF1468" s="1" t="s">
        <v>1</v>
      </c>
      <c r="AG1468">
        <f t="shared" si="49"/>
        <v>0</v>
      </c>
    </row>
    <row r="1469" spans="27:33" hidden="1" x14ac:dyDescent="0.25">
      <c r="AA1469" t="s">
        <v>547</v>
      </c>
      <c r="AB1469" s="1" t="s">
        <v>1915</v>
      </c>
      <c r="AC1469" s="1" t="s">
        <v>5</v>
      </c>
      <c r="AD1469" s="1" t="s">
        <v>6</v>
      </c>
      <c r="AE1469" s="1" t="s">
        <v>1</v>
      </c>
      <c r="AF1469" s="1" t="s">
        <v>3</v>
      </c>
      <c r="AG1469">
        <f t="shared" si="49"/>
        <v>0</v>
      </c>
    </row>
    <row r="1470" spans="27:33" hidden="1" x14ac:dyDescent="0.25">
      <c r="AA1470" t="s">
        <v>435</v>
      </c>
      <c r="AB1470" s="1" t="s">
        <v>0</v>
      </c>
      <c r="AC1470" s="1" t="s">
        <v>5</v>
      </c>
      <c r="AD1470" s="1" t="s">
        <v>1920</v>
      </c>
      <c r="AE1470" s="1" t="s">
        <v>3</v>
      </c>
      <c r="AF1470" s="1" t="s">
        <v>11</v>
      </c>
      <c r="AG1470">
        <f t="shared" si="49"/>
        <v>0</v>
      </c>
    </row>
    <row r="1471" spans="27:33" hidden="1" x14ac:dyDescent="0.25">
      <c r="AA1471" t="s">
        <v>264</v>
      </c>
      <c r="AB1471" s="1" t="s">
        <v>1914</v>
      </c>
      <c r="AC1471" s="1" t="s">
        <v>8</v>
      </c>
      <c r="AD1471" s="1" t="s">
        <v>0</v>
      </c>
      <c r="AE1471" s="1" t="s">
        <v>11</v>
      </c>
      <c r="AF1471" s="1" t="s">
        <v>5</v>
      </c>
      <c r="AG1471">
        <f t="shared" si="49"/>
        <v>0</v>
      </c>
    </row>
    <row r="1472" spans="27:33" hidden="1" x14ac:dyDescent="0.25">
      <c r="AA1472" t="s">
        <v>167</v>
      </c>
      <c r="AB1472" s="1" t="s">
        <v>1914</v>
      </c>
      <c r="AC1472" s="1" t="s">
        <v>1</v>
      </c>
      <c r="AD1472" s="1" t="s">
        <v>13</v>
      </c>
      <c r="AE1472" s="1" t="s">
        <v>1914</v>
      </c>
      <c r="AF1472" s="1" t="s">
        <v>1</v>
      </c>
      <c r="AG1472">
        <f t="shared" si="49"/>
        <v>0</v>
      </c>
    </row>
    <row r="1473" spans="27:33" hidden="1" x14ac:dyDescent="0.25">
      <c r="AA1473" t="s">
        <v>1346</v>
      </c>
      <c r="AB1473" s="1" t="s">
        <v>9</v>
      </c>
      <c r="AC1473" s="1" t="s">
        <v>7</v>
      </c>
      <c r="AD1473" s="1" t="s">
        <v>1</v>
      </c>
      <c r="AE1473" s="1" t="s">
        <v>1921</v>
      </c>
      <c r="AF1473" s="1" t="s">
        <v>1</v>
      </c>
      <c r="AG1473">
        <f t="shared" si="49"/>
        <v>0</v>
      </c>
    </row>
    <row r="1474" spans="27:33" hidden="1" x14ac:dyDescent="0.25">
      <c r="AA1474" t="s">
        <v>2017</v>
      </c>
      <c r="AB1474" s="1" t="s">
        <v>1915</v>
      </c>
      <c r="AC1474" s="1" t="s">
        <v>1</v>
      </c>
      <c r="AD1474" s="1" t="s">
        <v>4</v>
      </c>
      <c r="AE1474" s="1" t="s">
        <v>10</v>
      </c>
      <c r="AF1474" s="1" t="s">
        <v>7</v>
      </c>
      <c r="AG1474">
        <f t="shared" si="49"/>
        <v>0</v>
      </c>
    </row>
    <row r="1475" spans="27:33" hidden="1" x14ac:dyDescent="0.25">
      <c r="AA1475" t="s">
        <v>83</v>
      </c>
      <c r="AB1475" s="1" t="s">
        <v>1</v>
      </c>
      <c r="AC1475" s="1" t="s">
        <v>6</v>
      </c>
      <c r="AD1475" s="1" t="s">
        <v>0</v>
      </c>
      <c r="AE1475" s="1" t="s">
        <v>1917</v>
      </c>
      <c r="AF1475" s="1" t="s">
        <v>5</v>
      </c>
      <c r="AG1475">
        <f t="shared" ref="AG1475:AG1538" si="50">IF(AND(Z1475&gt;0,Z1475&lt;7),AG1474+1,0)</f>
        <v>0</v>
      </c>
    </row>
    <row r="1476" spans="27:33" hidden="1" x14ac:dyDescent="0.25">
      <c r="AA1476" t="s">
        <v>2141</v>
      </c>
      <c r="AB1476" s="1" t="s">
        <v>6</v>
      </c>
      <c r="AC1476" s="1" t="s">
        <v>10</v>
      </c>
      <c r="AD1476" s="1" t="s">
        <v>1919</v>
      </c>
      <c r="AE1476" s="1" t="s">
        <v>11</v>
      </c>
      <c r="AF1476" s="1" t="s">
        <v>5</v>
      </c>
      <c r="AG1476">
        <f t="shared" si="50"/>
        <v>0</v>
      </c>
    </row>
    <row r="1477" spans="27:33" hidden="1" x14ac:dyDescent="0.25">
      <c r="AA1477" t="s">
        <v>1071</v>
      </c>
      <c r="AB1477" s="1" t="s">
        <v>13</v>
      </c>
      <c r="AC1477" s="1" t="s">
        <v>10</v>
      </c>
      <c r="AD1477" s="1" t="s">
        <v>0</v>
      </c>
      <c r="AE1477" s="1" t="s">
        <v>3</v>
      </c>
      <c r="AF1477" s="1" t="s">
        <v>1</v>
      </c>
      <c r="AG1477">
        <f t="shared" si="50"/>
        <v>0</v>
      </c>
    </row>
    <row r="1478" spans="27:33" hidden="1" x14ac:dyDescent="0.25">
      <c r="AA1478" t="s">
        <v>1114</v>
      </c>
      <c r="AB1478" s="1" t="s">
        <v>13</v>
      </c>
      <c r="AC1478" s="1" t="s">
        <v>5</v>
      </c>
      <c r="AD1478" s="1" t="s">
        <v>2</v>
      </c>
      <c r="AE1478" s="1" t="s">
        <v>0</v>
      </c>
      <c r="AF1478" s="1" t="s">
        <v>1</v>
      </c>
      <c r="AG1478">
        <f t="shared" si="50"/>
        <v>0</v>
      </c>
    </row>
    <row r="1479" spans="27:33" hidden="1" x14ac:dyDescent="0.25">
      <c r="AA1479" t="s">
        <v>1382</v>
      </c>
      <c r="AB1479" s="1" t="s">
        <v>9</v>
      </c>
      <c r="AC1479" s="1" t="s">
        <v>5</v>
      </c>
      <c r="AD1479" s="1" t="s">
        <v>3</v>
      </c>
      <c r="AE1479" s="1" t="s">
        <v>4</v>
      </c>
      <c r="AF1479" s="1" t="s">
        <v>11</v>
      </c>
      <c r="AG1479">
        <f t="shared" si="50"/>
        <v>0</v>
      </c>
    </row>
    <row r="1480" spans="27:33" hidden="1" x14ac:dyDescent="0.25">
      <c r="AA1480" t="s">
        <v>585</v>
      </c>
      <c r="AB1480" s="1" t="s">
        <v>11</v>
      </c>
      <c r="AC1480" s="1" t="s">
        <v>6</v>
      </c>
      <c r="AD1480" s="1" t="s">
        <v>5</v>
      </c>
      <c r="AE1480" s="1" t="s">
        <v>15</v>
      </c>
      <c r="AF1480" s="1" t="s">
        <v>5</v>
      </c>
      <c r="AG1480">
        <f t="shared" si="50"/>
        <v>0</v>
      </c>
    </row>
    <row r="1481" spans="27:33" hidden="1" x14ac:dyDescent="0.25">
      <c r="AA1481" t="s">
        <v>815</v>
      </c>
      <c r="AB1481" s="1" t="s">
        <v>1917</v>
      </c>
      <c r="AC1481" s="1" t="s">
        <v>11</v>
      </c>
      <c r="AD1481" s="1" t="s">
        <v>7</v>
      </c>
      <c r="AE1481" s="1" t="s">
        <v>10</v>
      </c>
      <c r="AF1481" s="1" t="s">
        <v>5</v>
      </c>
      <c r="AG1481">
        <f t="shared" si="50"/>
        <v>0</v>
      </c>
    </row>
    <row r="1482" spans="27:33" hidden="1" x14ac:dyDescent="0.25">
      <c r="AA1482" t="s">
        <v>1815</v>
      </c>
      <c r="AB1482" s="1" t="s">
        <v>1919</v>
      </c>
      <c r="AC1482" s="1" t="s">
        <v>1</v>
      </c>
      <c r="AD1482" s="1" t="s">
        <v>3</v>
      </c>
      <c r="AE1482" s="1" t="s">
        <v>1</v>
      </c>
      <c r="AF1482" s="1" t="s">
        <v>3</v>
      </c>
      <c r="AG1482">
        <f t="shared" si="50"/>
        <v>0</v>
      </c>
    </row>
    <row r="1483" spans="27:33" hidden="1" x14ac:dyDescent="0.25">
      <c r="AA1483" t="s">
        <v>1322</v>
      </c>
      <c r="AB1483" s="1" t="s">
        <v>9</v>
      </c>
      <c r="AC1483" s="1" t="s">
        <v>10</v>
      </c>
      <c r="AD1483" s="1" t="s">
        <v>1</v>
      </c>
      <c r="AE1483" s="1" t="s">
        <v>3</v>
      </c>
      <c r="AF1483" s="1" t="s">
        <v>1</v>
      </c>
      <c r="AG1483">
        <f t="shared" si="50"/>
        <v>0</v>
      </c>
    </row>
    <row r="1484" spans="27:33" hidden="1" x14ac:dyDescent="0.25">
      <c r="AA1484" t="s">
        <v>65</v>
      </c>
      <c r="AB1484" s="1" t="s">
        <v>1</v>
      </c>
      <c r="AC1484" s="1" t="s">
        <v>7</v>
      </c>
      <c r="AD1484" s="1" t="s">
        <v>4</v>
      </c>
      <c r="AE1484" s="1" t="s">
        <v>1</v>
      </c>
      <c r="AF1484" s="1" t="s">
        <v>3</v>
      </c>
      <c r="AG1484">
        <f t="shared" si="50"/>
        <v>0</v>
      </c>
    </row>
    <row r="1485" spans="27:33" hidden="1" x14ac:dyDescent="0.25">
      <c r="AA1485" t="s">
        <v>240</v>
      </c>
      <c r="AB1485" s="1" t="s">
        <v>1914</v>
      </c>
      <c r="AC1485" s="1" t="s">
        <v>5</v>
      </c>
      <c r="AD1485" s="1" t="s">
        <v>12</v>
      </c>
      <c r="AE1485" s="1" t="s">
        <v>1</v>
      </c>
      <c r="AF1485" s="1" t="s">
        <v>7</v>
      </c>
      <c r="AG1485">
        <f t="shared" si="50"/>
        <v>0</v>
      </c>
    </row>
    <row r="1486" spans="27:33" hidden="1" x14ac:dyDescent="0.25">
      <c r="AA1486" t="s">
        <v>762</v>
      </c>
      <c r="AB1486" s="1" t="s">
        <v>1921</v>
      </c>
      <c r="AC1486" s="1" t="s">
        <v>3</v>
      </c>
      <c r="AD1486" s="1" t="s">
        <v>1</v>
      </c>
      <c r="AE1486" s="1" t="s">
        <v>4</v>
      </c>
      <c r="AF1486" s="1" t="s">
        <v>1</v>
      </c>
      <c r="AG1486">
        <f t="shared" si="50"/>
        <v>0</v>
      </c>
    </row>
    <row r="1487" spans="27:33" hidden="1" x14ac:dyDescent="0.25">
      <c r="AA1487" t="s">
        <v>320</v>
      </c>
      <c r="AB1487" s="1" t="s">
        <v>0</v>
      </c>
      <c r="AC1487" s="1" t="s">
        <v>1</v>
      </c>
      <c r="AD1487" s="1" t="s">
        <v>9</v>
      </c>
      <c r="AE1487" s="1" t="s">
        <v>1</v>
      </c>
      <c r="AF1487" s="1" t="s">
        <v>12</v>
      </c>
      <c r="AG1487">
        <f t="shared" si="50"/>
        <v>0</v>
      </c>
    </row>
    <row r="1488" spans="27:33" hidden="1" x14ac:dyDescent="0.25">
      <c r="AA1488" t="s">
        <v>344</v>
      </c>
      <c r="AB1488" s="1" t="s">
        <v>0</v>
      </c>
      <c r="AC1488" s="1" t="s">
        <v>1</v>
      </c>
      <c r="AD1488" s="1" t="s">
        <v>4</v>
      </c>
      <c r="AE1488" s="1" t="s">
        <v>3</v>
      </c>
      <c r="AF1488" s="1" t="s">
        <v>11</v>
      </c>
      <c r="AG1488">
        <f t="shared" si="50"/>
        <v>0</v>
      </c>
    </row>
    <row r="1489" spans="27:33" hidden="1" x14ac:dyDescent="0.25">
      <c r="AA1489" t="s">
        <v>2245</v>
      </c>
      <c r="AB1489" s="1" t="s">
        <v>4</v>
      </c>
      <c r="AC1489" s="1" t="s">
        <v>11</v>
      </c>
      <c r="AD1489" s="1" t="s">
        <v>4</v>
      </c>
      <c r="AE1489" s="1" t="s">
        <v>5</v>
      </c>
      <c r="AF1489" s="1" t="s">
        <v>6</v>
      </c>
      <c r="AG1489">
        <f t="shared" si="50"/>
        <v>0</v>
      </c>
    </row>
    <row r="1490" spans="27:33" hidden="1" x14ac:dyDescent="0.25">
      <c r="AA1490" t="s">
        <v>368</v>
      </c>
      <c r="AB1490" s="1" t="s">
        <v>0</v>
      </c>
      <c r="AC1490" s="1" t="s">
        <v>11</v>
      </c>
      <c r="AD1490" s="1" t="s">
        <v>3</v>
      </c>
      <c r="AE1490" s="1" t="s">
        <v>3</v>
      </c>
      <c r="AF1490" s="1" t="s">
        <v>5</v>
      </c>
      <c r="AG1490">
        <f t="shared" si="50"/>
        <v>0</v>
      </c>
    </row>
    <row r="1491" spans="27:33" hidden="1" x14ac:dyDescent="0.25">
      <c r="AA1491" t="s">
        <v>2177</v>
      </c>
      <c r="AB1491" s="1" t="s">
        <v>4</v>
      </c>
      <c r="AC1491" s="1" t="s">
        <v>5</v>
      </c>
      <c r="AD1491" s="1" t="s">
        <v>3</v>
      </c>
      <c r="AE1491" s="1" t="s">
        <v>1</v>
      </c>
      <c r="AF1491" s="1" t="s">
        <v>1922</v>
      </c>
      <c r="AG1491">
        <f t="shared" si="50"/>
        <v>0</v>
      </c>
    </row>
    <row r="1492" spans="27:33" hidden="1" x14ac:dyDescent="0.25">
      <c r="AA1492" t="s">
        <v>275</v>
      </c>
      <c r="AB1492" s="1" t="s">
        <v>1914</v>
      </c>
      <c r="AC1492" s="1" t="s">
        <v>8</v>
      </c>
      <c r="AD1492" s="1" t="s">
        <v>3</v>
      </c>
      <c r="AE1492" s="1" t="s">
        <v>1915</v>
      </c>
      <c r="AF1492" s="1" t="s">
        <v>1</v>
      </c>
      <c r="AG1492">
        <f t="shared" si="50"/>
        <v>0</v>
      </c>
    </row>
    <row r="1493" spans="27:33" hidden="1" x14ac:dyDescent="0.25">
      <c r="AA1493" t="s">
        <v>1219</v>
      </c>
      <c r="AB1493" s="1" t="s">
        <v>5</v>
      </c>
      <c r="AC1493" s="1" t="s">
        <v>13</v>
      </c>
      <c r="AD1493" s="1" t="s">
        <v>11</v>
      </c>
      <c r="AE1493" s="1" t="s">
        <v>1918</v>
      </c>
      <c r="AF1493" s="1" t="s">
        <v>1</v>
      </c>
      <c r="AG1493">
        <f t="shared" si="50"/>
        <v>0</v>
      </c>
    </row>
    <row r="1494" spans="27:33" hidden="1" x14ac:dyDescent="0.25">
      <c r="AA1494" t="s">
        <v>391</v>
      </c>
      <c r="AB1494" s="1" t="s">
        <v>0</v>
      </c>
      <c r="AC1494" s="1" t="s">
        <v>1917</v>
      </c>
      <c r="AD1494" s="1" t="s">
        <v>5</v>
      </c>
      <c r="AE1494" s="1" t="s">
        <v>6</v>
      </c>
      <c r="AF1494" s="1" t="s">
        <v>10</v>
      </c>
      <c r="AG1494">
        <f t="shared" si="50"/>
        <v>0</v>
      </c>
    </row>
    <row r="1495" spans="27:33" hidden="1" x14ac:dyDescent="0.25">
      <c r="AA1495" t="s">
        <v>2270</v>
      </c>
      <c r="AB1495" s="1" t="s">
        <v>7</v>
      </c>
      <c r="AC1495" s="1" t="s">
        <v>1</v>
      </c>
      <c r="AD1495" s="1" t="s">
        <v>4</v>
      </c>
      <c r="AE1495" s="1" t="s">
        <v>5</v>
      </c>
      <c r="AF1495" s="1" t="s">
        <v>6</v>
      </c>
      <c r="AG1495">
        <f t="shared" si="50"/>
        <v>0</v>
      </c>
    </row>
    <row r="1496" spans="27:33" hidden="1" x14ac:dyDescent="0.25">
      <c r="AA1496" t="s">
        <v>331</v>
      </c>
      <c r="AB1496" s="1" t="s">
        <v>0</v>
      </c>
      <c r="AC1496" s="1" t="s">
        <v>1</v>
      </c>
      <c r="AD1496" s="1" t="s">
        <v>3</v>
      </c>
      <c r="AE1496" s="1" t="s">
        <v>6</v>
      </c>
      <c r="AF1496" s="1" t="s">
        <v>11</v>
      </c>
      <c r="AG1496">
        <f t="shared" si="50"/>
        <v>0</v>
      </c>
    </row>
    <row r="1497" spans="27:33" hidden="1" x14ac:dyDescent="0.25">
      <c r="AA1497" t="s">
        <v>1261</v>
      </c>
      <c r="AB1497" s="1" t="s">
        <v>9</v>
      </c>
      <c r="AC1497" s="1" t="s">
        <v>1</v>
      </c>
      <c r="AD1497" s="1" t="s">
        <v>6</v>
      </c>
      <c r="AE1497" s="1" t="s">
        <v>4</v>
      </c>
      <c r="AF1497" s="1" t="s">
        <v>1918</v>
      </c>
      <c r="AG1497">
        <f t="shared" si="50"/>
        <v>0</v>
      </c>
    </row>
    <row r="1498" spans="27:33" hidden="1" x14ac:dyDescent="0.25">
      <c r="AA1498" t="s">
        <v>1505</v>
      </c>
      <c r="AB1498" s="1" t="s">
        <v>3</v>
      </c>
      <c r="AC1498" s="1" t="s">
        <v>5</v>
      </c>
      <c r="AD1498" s="1" t="s">
        <v>2</v>
      </c>
      <c r="AE1498" s="1" t="s">
        <v>0</v>
      </c>
      <c r="AF1498" s="1" t="s">
        <v>5</v>
      </c>
      <c r="AG1498">
        <f t="shared" si="50"/>
        <v>0</v>
      </c>
    </row>
    <row r="1499" spans="27:33" hidden="1" x14ac:dyDescent="0.25">
      <c r="AA1499" t="s">
        <v>220</v>
      </c>
      <c r="AB1499" s="1" t="s">
        <v>1914</v>
      </c>
      <c r="AC1499" s="1" t="s">
        <v>5</v>
      </c>
      <c r="AD1499" s="1" t="s">
        <v>0</v>
      </c>
      <c r="AE1499" s="1" t="s">
        <v>1</v>
      </c>
      <c r="AF1499" s="1" t="s">
        <v>2</v>
      </c>
      <c r="AG1499">
        <f t="shared" si="50"/>
        <v>0</v>
      </c>
    </row>
    <row r="1500" spans="27:33" hidden="1" x14ac:dyDescent="0.25">
      <c r="AA1500" t="s">
        <v>84</v>
      </c>
      <c r="AB1500" s="1" t="s">
        <v>1</v>
      </c>
      <c r="AC1500" s="1" t="s">
        <v>6</v>
      </c>
      <c r="AD1500" s="1" t="s">
        <v>0</v>
      </c>
      <c r="AE1500" s="1" t="s">
        <v>7</v>
      </c>
      <c r="AF1500" s="1" t="s">
        <v>1</v>
      </c>
      <c r="AG1500">
        <f t="shared" si="50"/>
        <v>0</v>
      </c>
    </row>
    <row r="1501" spans="27:33" hidden="1" x14ac:dyDescent="0.25">
      <c r="AA1501" t="s">
        <v>1556</v>
      </c>
      <c r="AB1501" s="1" t="s">
        <v>2</v>
      </c>
      <c r="AC1501" s="1" t="s">
        <v>1</v>
      </c>
      <c r="AD1501" s="1" t="s">
        <v>8</v>
      </c>
      <c r="AE1501" s="1" t="s">
        <v>0</v>
      </c>
      <c r="AF1501" s="1" t="s">
        <v>11</v>
      </c>
      <c r="AG1501">
        <f t="shared" si="50"/>
        <v>0</v>
      </c>
    </row>
    <row r="1502" spans="27:33" hidden="1" x14ac:dyDescent="0.25">
      <c r="AA1502" t="s">
        <v>328</v>
      </c>
      <c r="AB1502" s="1" t="s">
        <v>0</v>
      </c>
      <c r="AC1502" s="1" t="s">
        <v>1</v>
      </c>
      <c r="AD1502" s="1" t="s">
        <v>3</v>
      </c>
      <c r="AE1502" s="1" t="s">
        <v>1921</v>
      </c>
      <c r="AF1502" s="1" t="s">
        <v>1</v>
      </c>
      <c r="AG1502">
        <f t="shared" si="50"/>
        <v>0</v>
      </c>
    </row>
    <row r="1503" spans="27:33" hidden="1" x14ac:dyDescent="0.25">
      <c r="AA1503" t="s">
        <v>1085</v>
      </c>
      <c r="AB1503" s="1" t="s">
        <v>13</v>
      </c>
      <c r="AC1503" s="1" t="s">
        <v>10</v>
      </c>
      <c r="AD1503" s="1" t="s">
        <v>2</v>
      </c>
      <c r="AE1503" s="1" t="s">
        <v>10</v>
      </c>
      <c r="AF1503" s="1" t="s">
        <v>7</v>
      </c>
      <c r="AG1503">
        <f t="shared" si="50"/>
        <v>0</v>
      </c>
    </row>
    <row r="1504" spans="27:33" hidden="1" x14ac:dyDescent="0.25">
      <c r="AA1504" t="s">
        <v>462</v>
      </c>
      <c r="AB1504" s="1" t="s">
        <v>0</v>
      </c>
      <c r="AC1504" s="1" t="s">
        <v>5</v>
      </c>
      <c r="AD1504" s="1" t="s">
        <v>2</v>
      </c>
      <c r="AE1504" s="1" t="s">
        <v>4</v>
      </c>
      <c r="AF1504" s="1" t="s">
        <v>11</v>
      </c>
      <c r="AG1504">
        <f t="shared" si="50"/>
        <v>0</v>
      </c>
    </row>
    <row r="1505" spans="27:33" hidden="1" x14ac:dyDescent="0.25">
      <c r="AA1505" t="s">
        <v>695</v>
      </c>
      <c r="AB1505" s="1" t="s">
        <v>1920</v>
      </c>
      <c r="AC1505" s="1" t="s">
        <v>8</v>
      </c>
      <c r="AD1505" s="1" t="s">
        <v>11</v>
      </c>
      <c r="AE1505" s="1" t="s">
        <v>1921</v>
      </c>
      <c r="AF1505" s="1" t="s">
        <v>5</v>
      </c>
      <c r="AG1505">
        <f t="shared" si="50"/>
        <v>0</v>
      </c>
    </row>
    <row r="1506" spans="27:33" hidden="1" x14ac:dyDescent="0.25">
      <c r="AA1506" t="s">
        <v>1437</v>
      </c>
      <c r="AB1506" s="1" t="s">
        <v>3</v>
      </c>
      <c r="AC1506" s="1" t="s">
        <v>1</v>
      </c>
      <c r="AD1506" s="1" t="s">
        <v>6</v>
      </c>
      <c r="AE1506" s="1" t="s">
        <v>1921</v>
      </c>
      <c r="AF1506" s="1" t="s">
        <v>5</v>
      </c>
      <c r="AG1506">
        <f t="shared" si="50"/>
        <v>0</v>
      </c>
    </row>
    <row r="1507" spans="27:33" hidden="1" x14ac:dyDescent="0.25">
      <c r="AA1507" t="s">
        <v>1294</v>
      </c>
      <c r="AB1507" s="1" t="s">
        <v>9</v>
      </c>
      <c r="AC1507" s="1" t="s">
        <v>11</v>
      </c>
      <c r="AD1507" s="1" t="s">
        <v>0</v>
      </c>
      <c r="AE1507" s="1" t="s">
        <v>1917</v>
      </c>
      <c r="AF1507" s="1" t="s">
        <v>5</v>
      </c>
      <c r="AG1507">
        <f t="shared" si="50"/>
        <v>0</v>
      </c>
    </row>
    <row r="1508" spans="27:33" hidden="1" x14ac:dyDescent="0.25">
      <c r="AA1508" t="s">
        <v>1834</v>
      </c>
      <c r="AB1508" s="1" t="s">
        <v>1919</v>
      </c>
      <c r="AC1508" s="1" t="s">
        <v>11</v>
      </c>
      <c r="AD1508" s="1" t="s">
        <v>3</v>
      </c>
      <c r="AE1508" s="1" t="s">
        <v>1</v>
      </c>
      <c r="AF1508" s="1" t="s">
        <v>12</v>
      </c>
      <c r="AG1508">
        <f t="shared" si="50"/>
        <v>0</v>
      </c>
    </row>
    <row r="1509" spans="27:33" hidden="1" x14ac:dyDescent="0.25">
      <c r="AA1509" t="s">
        <v>751</v>
      </c>
      <c r="AB1509" s="1" t="s">
        <v>1921</v>
      </c>
      <c r="AC1509" s="1" t="s">
        <v>5</v>
      </c>
      <c r="AD1509" s="1" t="s">
        <v>12</v>
      </c>
      <c r="AE1509" s="1" t="s">
        <v>1</v>
      </c>
      <c r="AF1509" s="1" t="s">
        <v>3</v>
      </c>
      <c r="AG1509">
        <f t="shared" si="50"/>
        <v>0</v>
      </c>
    </row>
    <row r="1510" spans="27:33" hidden="1" x14ac:dyDescent="0.25">
      <c r="AA1510" t="s">
        <v>970</v>
      </c>
      <c r="AB1510" s="1" t="s">
        <v>7</v>
      </c>
      <c r="AC1510" s="1" t="s">
        <v>10</v>
      </c>
      <c r="AD1510" s="1" t="s">
        <v>3</v>
      </c>
      <c r="AE1510" s="1" t="s">
        <v>10</v>
      </c>
      <c r="AF1510" s="1" t="s">
        <v>1</v>
      </c>
      <c r="AG1510">
        <f t="shared" si="50"/>
        <v>0</v>
      </c>
    </row>
    <row r="1511" spans="27:33" hidden="1" x14ac:dyDescent="0.25">
      <c r="AA1511" t="s">
        <v>1783</v>
      </c>
      <c r="AB1511" s="1" t="s">
        <v>4</v>
      </c>
      <c r="AC1511" s="1" t="s">
        <v>8</v>
      </c>
      <c r="AD1511" s="1" t="s">
        <v>9</v>
      </c>
      <c r="AE1511" s="1" t="s">
        <v>10</v>
      </c>
      <c r="AF1511" s="1" t="s">
        <v>3</v>
      </c>
      <c r="AG1511">
        <f t="shared" si="50"/>
        <v>0</v>
      </c>
    </row>
    <row r="1512" spans="27:33" hidden="1" x14ac:dyDescent="0.25">
      <c r="AA1512" t="s">
        <v>2251</v>
      </c>
      <c r="AB1512" s="1" t="s">
        <v>1920</v>
      </c>
      <c r="AC1512" s="1" t="s">
        <v>8</v>
      </c>
      <c r="AD1512" s="1" t="s">
        <v>4</v>
      </c>
      <c r="AE1512" s="1" t="s">
        <v>5</v>
      </c>
      <c r="AF1512" s="1" t="s">
        <v>6</v>
      </c>
      <c r="AG1512">
        <f t="shared" si="50"/>
        <v>0</v>
      </c>
    </row>
    <row r="1513" spans="27:33" hidden="1" x14ac:dyDescent="0.25">
      <c r="AA1513" t="s">
        <v>305</v>
      </c>
      <c r="AB1513" s="1" t="s">
        <v>0</v>
      </c>
      <c r="AC1513" s="1" t="s">
        <v>1</v>
      </c>
      <c r="AD1513" s="1" t="s">
        <v>7</v>
      </c>
      <c r="AE1513" s="1" t="s">
        <v>1919</v>
      </c>
      <c r="AF1513" s="1" t="s">
        <v>5</v>
      </c>
      <c r="AG1513">
        <f t="shared" si="50"/>
        <v>0</v>
      </c>
    </row>
    <row r="1514" spans="27:33" hidden="1" x14ac:dyDescent="0.25">
      <c r="AA1514" t="s">
        <v>1627</v>
      </c>
      <c r="AB1514" s="1" t="s">
        <v>2</v>
      </c>
      <c r="AC1514" s="1" t="s">
        <v>8</v>
      </c>
      <c r="AD1514" s="1" t="s">
        <v>1914</v>
      </c>
      <c r="AE1514" s="1" t="s">
        <v>10</v>
      </c>
      <c r="AF1514" s="1" t="s">
        <v>3</v>
      </c>
      <c r="AG1514">
        <f t="shared" si="50"/>
        <v>0</v>
      </c>
    </row>
    <row r="1515" spans="27:33" hidden="1" x14ac:dyDescent="0.25">
      <c r="AA1515" t="s">
        <v>1475</v>
      </c>
      <c r="AB1515" s="1" t="s">
        <v>3</v>
      </c>
      <c r="AC1515" s="1" t="s">
        <v>11</v>
      </c>
      <c r="AD1515" s="1" t="s">
        <v>4</v>
      </c>
      <c r="AE1515" s="1" t="s">
        <v>1</v>
      </c>
      <c r="AF1515" s="1" t="s">
        <v>3</v>
      </c>
      <c r="AG1515">
        <f t="shared" si="50"/>
        <v>0</v>
      </c>
    </row>
    <row r="1516" spans="27:33" hidden="1" x14ac:dyDescent="0.25">
      <c r="AA1516" t="s">
        <v>1251</v>
      </c>
      <c r="AB1516" s="1" t="s">
        <v>9</v>
      </c>
      <c r="AC1516" s="1" t="s">
        <v>1</v>
      </c>
      <c r="AD1516" s="1" t="s">
        <v>15</v>
      </c>
      <c r="AE1516" s="1" t="s">
        <v>1</v>
      </c>
      <c r="AF1516" s="1" t="s">
        <v>3</v>
      </c>
      <c r="AG1516">
        <f t="shared" si="50"/>
        <v>0</v>
      </c>
    </row>
    <row r="1517" spans="27:33" hidden="1" x14ac:dyDescent="0.25">
      <c r="AA1517" t="s">
        <v>2157</v>
      </c>
      <c r="AB1517" s="1" t="s">
        <v>0</v>
      </c>
      <c r="AC1517" s="1" t="s">
        <v>8</v>
      </c>
      <c r="AD1517" s="1" t="s">
        <v>7</v>
      </c>
      <c r="AE1517" s="1" t="s">
        <v>10</v>
      </c>
      <c r="AF1517" s="1" t="s">
        <v>6</v>
      </c>
      <c r="AG1517">
        <f t="shared" si="50"/>
        <v>0</v>
      </c>
    </row>
    <row r="1518" spans="27:33" hidden="1" x14ac:dyDescent="0.25">
      <c r="AA1518" t="s">
        <v>1532</v>
      </c>
      <c r="AB1518" s="1" t="s">
        <v>2</v>
      </c>
      <c r="AC1518" s="1" t="s">
        <v>1</v>
      </c>
      <c r="AD1518" s="1" t="s">
        <v>0</v>
      </c>
      <c r="AE1518" s="1" t="s">
        <v>3</v>
      </c>
      <c r="AF1518" s="1" t="s">
        <v>1</v>
      </c>
      <c r="AG1518">
        <f t="shared" si="50"/>
        <v>0</v>
      </c>
    </row>
    <row r="1519" spans="27:33" hidden="1" x14ac:dyDescent="0.25">
      <c r="AA1519" t="s">
        <v>679</v>
      </c>
      <c r="AB1519" s="1" t="s">
        <v>1920</v>
      </c>
      <c r="AC1519" s="1" t="s">
        <v>5</v>
      </c>
      <c r="AD1519" s="1" t="s">
        <v>3</v>
      </c>
      <c r="AE1519" s="1" t="s">
        <v>1</v>
      </c>
      <c r="AF1519" s="1" t="s">
        <v>7</v>
      </c>
      <c r="AG1519">
        <f t="shared" si="50"/>
        <v>0</v>
      </c>
    </row>
    <row r="1520" spans="27:33" hidden="1" x14ac:dyDescent="0.25">
      <c r="AA1520" t="s">
        <v>1537</v>
      </c>
      <c r="AB1520" s="1" t="s">
        <v>2</v>
      </c>
      <c r="AC1520" s="1" t="s">
        <v>1</v>
      </c>
      <c r="AD1520" s="1" t="s">
        <v>7</v>
      </c>
      <c r="AE1520" s="1" t="s">
        <v>1</v>
      </c>
      <c r="AF1520" s="1" t="s">
        <v>3</v>
      </c>
      <c r="AG1520">
        <f t="shared" si="50"/>
        <v>0</v>
      </c>
    </row>
    <row r="1521" spans="27:33" hidden="1" x14ac:dyDescent="0.25">
      <c r="AA1521" t="s">
        <v>692</v>
      </c>
      <c r="AB1521" s="1" t="s">
        <v>1920</v>
      </c>
      <c r="AC1521" s="1" t="s">
        <v>3</v>
      </c>
      <c r="AD1521" s="1" t="s">
        <v>8</v>
      </c>
      <c r="AE1521" s="1" t="s">
        <v>4</v>
      </c>
      <c r="AF1521" s="1" t="s">
        <v>1</v>
      </c>
      <c r="AG1521">
        <f t="shared" si="50"/>
        <v>0</v>
      </c>
    </row>
    <row r="1522" spans="27:33" hidden="1" x14ac:dyDescent="0.25">
      <c r="AA1522" t="s">
        <v>1650</v>
      </c>
      <c r="AB1522" s="1" t="s">
        <v>4</v>
      </c>
      <c r="AC1522" s="1" t="s">
        <v>1</v>
      </c>
      <c r="AD1522" s="1" t="s">
        <v>7</v>
      </c>
      <c r="AE1522" s="1" t="s">
        <v>10</v>
      </c>
      <c r="AF1522" s="1" t="s">
        <v>5</v>
      </c>
      <c r="AG1522">
        <f t="shared" si="50"/>
        <v>0</v>
      </c>
    </row>
    <row r="1523" spans="27:33" hidden="1" x14ac:dyDescent="0.25">
      <c r="AA1523" t="s">
        <v>1134</v>
      </c>
      <c r="AB1523" s="1" t="s">
        <v>13</v>
      </c>
      <c r="AC1523" s="1" t="s">
        <v>8</v>
      </c>
      <c r="AD1523" s="1" t="s">
        <v>2</v>
      </c>
      <c r="AE1523" s="1" t="s">
        <v>7</v>
      </c>
      <c r="AF1523" s="1" t="s">
        <v>5</v>
      </c>
      <c r="AG1523">
        <f t="shared" si="50"/>
        <v>0</v>
      </c>
    </row>
    <row r="1524" spans="27:33" hidden="1" x14ac:dyDescent="0.25">
      <c r="AA1524" t="s">
        <v>551</v>
      </c>
      <c r="AB1524" s="1" t="s">
        <v>1915</v>
      </c>
      <c r="AC1524" s="1" t="s">
        <v>5</v>
      </c>
      <c r="AD1524" s="1" t="s">
        <v>3</v>
      </c>
      <c r="AE1524" s="1" t="s">
        <v>2</v>
      </c>
      <c r="AF1524" s="1" t="s">
        <v>5</v>
      </c>
      <c r="AG1524">
        <f t="shared" si="50"/>
        <v>0</v>
      </c>
    </row>
    <row r="1525" spans="27:33" hidden="1" x14ac:dyDescent="0.25">
      <c r="AA1525" t="s">
        <v>1355</v>
      </c>
      <c r="AB1525" s="1" t="s">
        <v>9</v>
      </c>
      <c r="AC1525" s="1" t="s">
        <v>7</v>
      </c>
      <c r="AD1525" s="1" t="s">
        <v>11</v>
      </c>
      <c r="AE1525" s="1" t="s">
        <v>6</v>
      </c>
      <c r="AF1525" s="1" t="s">
        <v>5</v>
      </c>
      <c r="AG1525">
        <f t="shared" si="50"/>
        <v>0</v>
      </c>
    </row>
    <row r="1526" spans="27:33" hidden="1" x14ac:dyDescent="0.25">
      <c r="AA1526" t="s">
        <v>1941</v>
      </c>
      <c r="AB1526" s="1" t="s">
        <v>1</v>
      </c>
      <c r="AC1526" s="1" t="s">
        <v>10</v>
      </c>
      <c r="AD1526" s="1" t="s">
        <v>3</v>
      </c>
      <c r="AE1526" s="1" t="s">
        <v>11</v>
      </c>
      <c r="AF1526" s="1" t="s">
        <v>2</v>
      </c>
      <c r="AG1526">
        <f t="shared" si="50"/>
        <v>0</v>
      </c>
    </row>
    <row r="1527" spans="27:33" hidden="1" x14ac:dyDescent="0.25">
      <c r="AA1527" t="s">
        <v>671</v>
      </c>
      <c r="AB1527" s="1" t="s">
        <v>1920</v>
      </c>
      <c r="AC1527" s="1" t="s">
        <v>7</v>
      </c>
      <c r="AD1527" s="1" t="s">
        <v>8</v>
      </c>
      <c r="AE1527" s="1" t="s">
        <v>10</v>
      </c>
      <c r="AF1527" s="1" t="s">
        <v>3</v>
      </c>
      <c r="AG1527">
        <f t="shared" si="50"/>
        <v>0</v>
      </c>
    </row>
    <row r="1528" spans="27:33" hidden="1" x14ac:dyDescent="0.25">
      <c r="AA1528" t="s">
        <v>2292</v>
      </c>
      <c r="AB1528" s="1" t="s">
        <v>4</v>
      </c>
      <c r="AC1528" s="1" t="s">
        <v>10</v>
      </c>
      <c r="AD1528" s="1" t="s">
        <v>13</v>
      </c>
      <c r="AE1528" s="1" t="s">
        <v>5</v>
      </c>
      <c r="AF1528" s="1" t="s">
        <v>6</v>
      </c>
      <c r="AG1528">
        <f t="shared" si="50"/>
        <v>0</v>
      </c>
    </row>
    <row r="1529" spans="27:33" hidden="1" x14ac:dyDescent="0.25">
      <c r="AA1529" t="s">
        <v>902</v>
      </c>
      <c r="AB1529" s="1" t="s">
        <v>15</v>
      </c>
      <c r="AC1529" s="1" t="s">
        <v>8</v>
      </c>
      <c r="AD1529" s="1" t="s">
        <v>6</v>
      </c>
      <c r="AE1529" s="1" t="s">
        <v>4</v>
      </c>
      <c r="AF1529" s="1" t="s">
        <v>1</v>
      </c>
      <c r="AG1529">
        <f t="shared" si="50"/>
        <v>0</v>
      </c>
    </row>
    <row r="1530" spans="27:33" hidden="1" x14ac:dyDescent="0.25">
      <c r="AA1530" t="s">
        <v>303</v>
      </c>
      <c r="AB1530" s="1" t="s">
        <v>0</v>
      </c>
      <c r="AC1530" s="1" t="s">
        <v>1</v>
      </c>
      <c r="AD1530" s="1" t="s">
        <v>7</v>
      </c>
      <c r="AE1530" s="1" t="s">
        <v>5</v>
      </c>
      <c r="AF1530" s="1" t="s">
        <v>3</v>
      </c>
      <c r="AG1530">
        <f t="shared" si="50"/>
        <v>0</v>
      </c>
    </row>
    <row r="1531" spans="27:33" hidden="1" x14ac:dyDescent="0.25">
      <c r="AA1531" t="s">
        <v>1098</v>
      </c>
      <c r="AB1531" s="1" t="s">
        <v>13</v>
      </c>
      <c r="AC1531" s="1" t="s">
        <v>5</v>
      </c>
      <c r="AD1531" s="1" t="s">
        <v>15</v>
      </c>
      <c r="AE1531" s="1" t="s">
        <v>1</v>
      </c>
      <c r="AF1531" s="1" t="s">
        <v>3</v>
      </c>
      <c r="AG1531">
        <f t="shared" si="50"/>
        <v>0</v>
      </c>
    </row>
    <row r="1532" spans="27:33" hidden="1" x14ac:dyDescent="0.25">
      <c r="AA1532" t="s">
        <v>1341</v>
      </c>
      <c r="AB1532" s="1" t="s">
        <v>9</v>
      </c>
      <c r="AC1532" s="1" t="s">
        <v>10</v>
      </c>
      <c r="AD1532" s="1" t="s">
        <v>2</v>
      </c>
      <c r="AE1532" s="1" t="s">
        <v>4</v>
      </c>
      <c r="AF1532" s="1" t="s">
        <v>5</v>
      </c>
      <c r="AG1532">
        <f t="shared" si="50"/>
        <v>0</v>
      </c>
    </row>
    <row r="1533" spans="27:33" hidden="1" x14ac:dyDescent="0.25">
      <c r="AA1533" t="s">
        <v>95</v>
      </c>
      <c r="AB1533" s="1" t="s">
        <v>1</v>
      </c>
      <c r="AC1533" s="1" t="s">
        <v>6</v>
      </c>
      <c r="AD1533" s="1" t="s">
        <v>4</v>
      </c>
      <c r="AE1533" s="1" t="s">
        <v>3</v>
      </c>
      <c r="AF1533" s="1" t="s">
        <v>5</v>
      </c>
      <c r="AG1533">
        <f t="shared" si="50"/>
        <v>0</v>
      </c>
    </row>
    <row r="1534" spans="27:33" hidden="1" x14ac:dyDescent="0.25">
      <c r="AA1534" t="s">
        <v>1425</v>
      </c>
      <c r="AB1534" s="1" t="s">
        <v>3</v>
      </c>
      <c r="AC1534" s="1" t="s">
        <v>1</v>
      </c>
      <c r="AD1534" s="1" t="s">
        <v>1914</v>
      </c>
      <c r="AE1534" s="1" t="s">
        <v>1</v>
      </c>
      <c r="AF1534" s="1" t="s">
        <v>7</v>
      </c>
      <c r="AG1534">
        <f t="shared" si="50"/>
        <v>0</v>
      </c>
    </row>
    <row r="1535" spans="27:33" hidden="1" x14ac:dyDescent="0.25">
      <c r="AA1535" t="s">
        <v>2069</v>
      </c>
      <c r="AB1535" s="1" t="s">
        <v>12</v>
      </c>
      <c r="AC1535" s="1" t="s">
        <v>11</v>
      </c>
      <c r="AD1535" s="1" t="s">
        <v>6</v>
      </c>
      <c r="AE1535" s="1" t="s">
        <v>10</v>
      </c>
      <c r="AF1535" s="1" t="s">
        <v>4</v>
      </c>
      <c r="AG1535">
        <f t="shared" si="50"/>
        <v>0</v>
      </c>
    </row>
    <row r="1536" spans="27:33" hidden="1" x14ac:dyDescent="0.25">
      <c r="AA1536" t="s">
        <v>2121</v>
      </c>
      <c r="AB1536" s="1" t="s">
        <v>13</v>
      </c>
      <c r="AC1536" s="1" t="s">
        <v>1</v>
      </c>
      <c r="AD1536" s="1" t="s">
        <v>2</v>
      </c>
      <c r="AE1536" s="1" t="s">
        <v>10</v>
      </c>
      <c r="AF1536" s="1" t="s">
        <v>1</v>
      </c>
      <c r="AG1536">
        <f t="shared" si="50"/>
        <v>0</v>
      </c>
    </row>
    <row r="1537" spans="27:33" hidden="1" x14ac:dyDescent="0.25">
      <c r="AA1537" t="s">
        <v>1976</v>
      </c>
      <c r="AB1537" s="1" t="s">
        <v>1919</v>
      </c>
      <c r="AC1537" s="1" t="s">
        <v>5</v>
      </c>
      <c r="AD1537" s="1" t="s">
        <v>4</v>
      </c>
      <c r="AE1537" s="1" t="s">
        <v>5</v>
      </c>
      <c r="AF1537" s="1" t="s">
        <v>2</v>
      </c>
      <c r="AG1537">
        <f t="shared" si="50"/>
        <v>0</v>
      </c>
    </row>
    <row r="1538" spans="27:33" hidden="1" x14ac:dyDescent="0.25">
      <c r="AA1538" t="s">
        <v>268</v>
      </c>
      <c r="AB1538" s="1" t="s">
        <v>1914</v>
      </c>
      <c r="AC1538" s="1" t="s">
        <v>8</v>
      </c>
      <c r="AD1538" s="1" t="s">
        <v>11</v>
      </c>
      <c r="AE1538" s="1" t="s">
        <v>6</v>
      </c>
      <c r="AF1538" s="1" t="s">
        <v>5</v>
      </c>
      <c r="AG1538">
        <f t="shared" si="50"/>
        <v>0</v>
      </c>
    </row>
    <row r="1539" spans="27:33" hidden="1" x14ac:dyDescent="0.25">
      <c r="AA1539" t="s">
        <v>147</v>
      </c>
      <c r="AB1539" s="1" t="s">
        <v>1</v>
      </c>
      <c r="AC1539" s="1" t="s">
        <v>1919</v>
      </c>
      <c r="AD1539" s="1" t="s">
        <v>10</v>
      </c>
      <c r="AE1539" s="1" t="s">
        <v>2</v>
      </c>
      <c r="AF1539" s="1" t="s">
        <v>5</v>
      </c>
      <c r="AG1539">
        <f t="shared" ref="AG1539:AG1602" si="51">IF(AND(Z1539&gt;0,Z1539&lt;7),AG1538+1,0)</f>
        <v>0</v>
      </c>
    </row>
    <row r="1540" spans="27:33" hidden="1" x14ac:dyDescent="0.25">
      <c r="AA1540" t="s">
        <v>447</v>
      </c>
      <c r="AB1540" s="1" t="s">
        <v>0</v>
      </c>
      <c r="AC1540" s="1" t="s">
        <v>5</v>
      </c>
      <c r="AD1540" s="1" t="s">
        <v>13</v>
      </c>
      <c r="AE1540" s="1" t="s">
        <v>9</v>
      </c>
      <c r="AF1540" s="1" t="s">
        <v>10</v>
      </c>
      <c r="AG1540">
        <f t="shared" si="51"/>
        <v>0</v>
      </c>
    </row>
    <row r="1541" spans="27:33" hidden="1" x14ac:dyDescent="0.25">
      <c r="AA1541" t="s">
        <v>255</v>
      </c>
      <c r="AB1541" s="1" t="s">
        <v>1914</v>
      </c>
      <c r="AC1541" s="1" t="s">
        <v>3</v>
      </c>
      <c r="AD1541" s="1" t="s">
        <v>5</v>
      </c>
      <c r="AE1541" s="1" t="s">
        <v>13</v>
      </c>
      <c r="AF1541" s="1" t="s">
        <v>1</v>
      </c>
      <c r="AG1541">
        <f t="shared" si="51"/>
        <v>0</v>
      </c>
    </row>
    <row r="1542" spans="27:33" hidden="1" x14ac:dyDescent="0.25">
      <c r="AA1542" t="s">
        <v>648</v>
      </c>
      <c r="AB1542" s="1" t="s">
        <v>1920</v>
      </c>
      <c r="AC1542" s="1" t="s">
        <v>10</v>
      </c>
      <c r="AD1542" s="1" t="s">
        <v>6</v>
      </c>
      <c r="AE1542" s="1" t="s">
        <v>1</v>
      </c>
      <c r="AF1542" s="1" t="s">
        <v>3</v>
      </c>
      <c r="AG1542">
        <f t="shared" si="51"/>
        <v>0</v>
      </c>
    </row>
    <row r="1543" spans="27:33" hidden="1" x14ac:dyDescent="0.25">
      <c r="AA1543" t="s">
        <v>1398</v>
      </c>
      <c r="AB1543" s="1" t="s">
        <v>9</v>
      </c>
      <c r="AC1543" s="1" t="s">
        <v>3</v>
      </c>
      <c r="AD1543" s="1" t="s">
        <v>5</v>
      </c>
      <c r="AE1543" s="1" t="s">
        <v>2</v>
      </c>
      <c r="AF1543" s="1" t="s">
        <v>1</v>
      </c>
      <c r="AG1543">
        <f t="shared" si="51"/>
        <v>0</v>
      </c>
    </row>
    <row r="1544" spans="27:33" hidden="1" x14ac:dyDescent="0.25">
      <c r="AA1544" t="s">
        <v>1669</v>
      </c>
      <c r="AB1544" s="1" t="s">
        <v>4</v>
      </c>
      <c r="AC1544" s="1" t="s">
        <v>1</v>
      </c>
      <c r="AD1544" s="1" t="s">
        <v>3</v>
      </c>
      <c r="AE1544" s="1" t="s">
        <v>5</v>
      </c>
      <c r="AF1544" s="1" t="s">
        <v>4</v>
      </c>
      <c r="AG1544">
        <f t="shared" si="51"/>
        <v>0</v>
      </c>
    </row>
    <row r="1545" spans="27:33" hidden="1" x14ac:dyDescent="0.25">
      <c r="AA1545" t="s">
        <v>1559</v>
      </c>
      <c r="AB1545" s="1" t="s">
        <v>2</v>
      </c>
      <c r="AC1545" s="1" t="s">
        <v>11</v>
      </c>
      <c r="AD1545" s="1" t="s">
        <v>0</v>
      </c>
      <c r="AE1545" s="1" t="s">
        <v>1</v>
      </c>
      <c r="AF1545" s="1" t="s">
        <v>3</v>
      </c>
      <c r="AG1545">
        <f t="shared" si="51"/>
        <v>0</v>
      </c>
    </row>
    <row r="1546" spans="27:33" hidden="1" x14ac:dyDescent="0.25">
      <c r="AA1546" t="s">
        <v>474</v>
      </c>
      <c r="AB1546" s="1" t="s">
        <v>0</v>
      </c>
      <c r="AC1546" s="1" t="s">
        <v>3</v>
      </c>
      <c r="AD1546" s="1" t="s">
        <v>10</v>
      </c>
      <c r="AE1546" s="1" t="s">
        <v>1914</v>
      </c>
      <c r="AF1546" s="1" t="s">
        <v>1</v>
      </c>
      <c r="AG1546">
        <f t="shared" si="51"/>
        <v>0</v>
      </c>
    </row>
    <row r="1547" spans="27:33" hidden="1" x14ac:dyDescent="0.25">
      <c r="AA1547" t="s">
        <v>852</v>
      </c>
      <c r="AB1547" s="1" t="s">
        <v>1917</v>
      </c>
      <c r="AC1547" s="1" t="s">
        <v>8</v>
      </c>
      <c r="AD1547" s="1" t="s">
        <v>13</v>
      </c>
      <c r="AE1547" s="1" t="s">
        <v>5</v>
      </c>
      <c r="AF1547" s="1" t="s">
        <v>3</v>
      </c>
      <c r="AG1547">
        <f t="shared" si="51"/>
        <v>0</v>
      </c>
    </row>
    <row r="1548" spans="27:33" hidden="1" x14ac:dyDescent="0.25">
      <c r="AA1548" t="s">
        <v>2262</v>
      </c>
      <c r="AB1548" s="1" t="s">
        <v>13</v>
      </c>
      <c r="AC1548" s="1" t="s">
        <v>1</v>
      </c>
      <c r="AD1548" s="1" t="s">
        <v>2</v>
      </c>
      <c r="AE1548" s="1" t="s">
        <v>5</v>
      </c>
      <c r="AF1548" s="1" t="s">
        <v>6</v>
      </c>
      <c r="AG1548">
        <f t="shared" si="51"/>
        <v>0</v>
      </c>
    </row>
    <row r="1549" spans="27:33" hidden="1" x14ac:dyDescent="0.25">
      <c r="AA1549" t="s">
        <v>2228</v>
      </c>
      <c r="AB1549" s="1" t="s">
        <v>3</v>
      </c>
      <c r="AC1549" s="1" t="s">
        <v>10</v>
      </c>
      <c r="AD1549" s="1" t="s">
        <v>1916</v>
      </c>
      <c r="AE1549" s="1" t="s">
        <v>5</v>
      </c>
      <c r="AF1549" s="1" t="s">
        <v>6</v>
      </c>
      <c r="AG1549">
        <f t="shared" si="51"/>
        <v>0</v>
      </c>
    </row>
    <row r="1550" spans="27:33" hidden="1" x14ac:dyDescent="0.25">
      <c r="AA1550" t="s">
        <v>263</v>
      </c>
      <c r="AB1550" s="1" t="s">
        <v>1914</v>
      </c>
      <c r="AC1550" s="1" t="s">
        <v>8</v>
      </c>
      <c r="AD1550" s="1" t="s">
        <v>0</v>
      </c>
      <c r="AE1550" s="1" t="s">
        <v>1</v>
      </c>
      <c r="AF1550" s="1" t="s">
        <v>7</v>
      </c>
      <c r="AG1550">
        <f t="shared" si="51"/>
        <v>0</v>
      </c>
    </row>
    <row r="1551" spans="27:33" hidden="1" x14ac:dyDescent="0.25">
      <c r="AA1551" t="s">
        <v>2222</v>
      </c>
      <c r="AB1551" s="1" t="s">
        <v>1914</v>
      </c>
      <c r="AC1551" s="1" t="s">
        <v>5</v>
      </c>
      <c r="AD1551" s="1" t="s">
        <v>4</v>
      </c>
      <c r="AE1551" s="1" t="s">
        <v>5</v>
      </c>
      <c r="AF1551" s="1" t="s">
        <v>6</v>
      </c>
      <c r="AG1551">
        <f t="shared" si="51"/>
        <v>0</v>
      </c>
    </row>
    <row r="1552" spans="27:33" hidden="1" x14ac:dyDescent="0.25">
      <c r="AA1552" t="s">
        <v>1894</v>
      </c>
      <c r="AB1552" s="1" t="s">
        <v>12</v>
      </c>
      <c r="AC1552" s="1" t="s">
        <v>1</v>
      </c>
      <c r="AD1552" s="1" t="s">
        <v>1920</v>
      </c>
      <c r="AE1552" s="1" t="s">
        <v>1</v>
      </c>
      <c r="AF1552" s="1" t="s">
        <v>3</v>
      </c>
      <c r="AG1552">
        <f t="shared" si="51"/>
        <v>0</v>
      </c>
    </row>
    <row r="1553" spans="27:33" hidden="1" x14ac:dyDescent="0.25">
      <c r="AA1553" t="s">
        <v>1551</v>
      </c>
      <c r="AB1553" s="1" t="s">
        <v>2</v>
      </c>
      <c r="AC1553" s="1" t="s">
        <v>1</v>
      </c>
      <c r="AD1553" s="1" t="s">
        <v>3</v>
      </c>
      <c r="AE1553" s="1" t="s">
        <v>1</v>
      </c>
      <c r="AF1553" s="1" t="s">
        <v>5</v>
      </c>
      <c r="AG1553">
        <f t="shared" si="51"/>
        <v>0</v>
      </c>
    </row>
    <row r="1554" spans="27:33" hidden="1" x14ac:dyDescent="0.25">
      <c r="AA1554" t="s">
        <v>2116</v>
      </c>
      <c r="AB1554" s="1" t="s">
        <v>7</v>
      </c>
      <c r="AC1554" s="1" t="s">
        <v>10</v>
      </c>
      <c r="AD1554" s="1" t="s">
        <v>6</v>
      </c>
      <c r="AE1554" s="1" t="s">
        <v>11</v>
      </c>
      <c r="AF1554" s="1" t="s">
        <v>1</v>
      </c>
      <c r="AG1554">
        <f t="shared" si="51"/>
        <v>0</v>
      </c>
    </row>
    <row r="1555" spans="27:33" hidden="1" x14ac:dyDescent="0.25">
      <c r="AA1555" t="s">
        <v>767</v>
      </c>
      <c r="AB1555" s="1" t="s">
        <v>1921</v>
      </c>
      <c r="AC1555" s="1" t="s">
        <v>3</v>
      </c>
      <c r="AD1555" s="1" t="s">
        <v>11</v>
      </c>
      <c r="AE1555" s="1" t="s">
        <v>7</v>
      </c>
      <c r="AF1555" s="1" t="s">
        <v>5</v>
      </c>
      <c r="AG1555">
        <f t="shared" si="51"/>
        <v>0</v>
      </c>
    </row>
    <row r="1556" spans="27:33" hidden="1" x14ac:dyDescent="0.25">
      <c r="AA1556" t="s">
        <v>1707</v>
      </c>
      <c r="AB1556" s="1" t="s">
        <v>4</v>
      </c>
      <c r="AC1556" s="1" t="s">
        <v>10</v>
      </c>
      <c r="AD1556" s="1" t="s">
        <v>1914</v>
      </c>
      <c r="AE1556" s="1" t="s">
        <v>10</v>
      </c>
      <c r="AF1556" s="1" t="s">
        <v>1</v>
      </c>
      <c r="AG1556">
        <f t="shared" si="51"/>
        <v>0</v>
      </c>
    </row>
    <row r="1557" spans="27:33" hidden="1" x14ac:dyDescent="0.25">
      <c r="AA1557" t="s">
        <v>1497</v>
      </c>
      <c r="AB1557" s="1" t="s">
        <v>3</v>
      </c>
      <c r="AC1557" s="1" t="s">
        <v>5</v>
      </c>
      <c r="AD1557" s="1" t="s">
        <v>7</v>
      </c>
      <c r="AE1557" s="1" t="s">
        <v>7</v>
      </c>
      <c r="AF1557" s="1" t="s">
        <v>5</v>
      </c>
      <c r="AG1557">
        <f t="shared" si="51"/>
        <v>0</v>
      </c>
    </row>
    <row r="1558" spans="27:33" hidden="1" x14ac:dyDescent="0.25">
      <c r="AA1558" t="s">
        <v>1486</v>
      </c>
      <c r="AB1558" s="1" t="s">
        <v>3</v>
      </c>
      <c r="AC1558" s="1" t="s">
        <v>10</v>
      </c>
      <c r="AD1558" s="1" t="s">
        <v>4</v>
      </c>
      <c r="AE1558" s="1" t="s">
        <v>13</v>
      </c>
      <c r="AF1558" s="1" t="s">
        <v>5</v>
      </c>
      <c r="AG1558">
        <f t="shared" si="51"/>
        <v>0</v>
      </c>
    </row>
    <row r="1559" spans="27:33" hidden="1" x14ac:dyDescent="0.25">
      <c r="AA1559" t="s">
        <v>716</v>
      </c>
      <c r="AB1559" s="1" t="s">
        <v>1921</v>
      </c>
      <c r="AC1559" s="1" t="s">
        <v>1</v>
      </c>
      <c r="AD1559" s="1" t="s">
        <v>6</v>
      </c>
      <c r="AE1559" s="1" t="s">
        <v>1</v>
      </c>
      <c r="AF1559" s="1" t="s">
        <v>3</v>
      </c>
      <c r="AG1559">
        <f t="shared" si="51"/>
        <v>0</v>
      </c>
    </row>
    <row r="1560" spans="27:33" hidden="1" x14ac:dyDescent="0.25">
      <c r="AA1560" t="s">
        <v>968</v>
      </c>
      <c r="AB1560" s="1" t="s">
        <v>7</v>
      </c>
      <c r="AC1560" s="1" t="s">
        <v>10</v>
      </c>
      <c r="AD1560" s="1" t="s">
        <v>5</v>
      </c>
      <c r="AE1560" s="1" t="s">
        <v>2</v>
      </c>
      <c r="AF1560" s="1" t="s">
        <v>1</v>
      </c>
      <c r="AG1560">
        <f t="shared" si="51"/>
        <v>0</v>
      </c>
    </row>
    <row r="1561" spans="27:33" hidden="1" x14ac:dyDescent="0.25">
      <c r="AA1561" t="s">
        <v>1262</v>
      </c>
      <c r="AB1561" s="1" t="s">
        <v>9</v>
      </c>
      <c r="AC1561" s="1" t="s">
        <v>1</v>
      </c>
      <c r="AD1561" s="1" t="s">
        <v>6</v>
      </c>
      <c r="AE1561" s="1" t="s">
        <v>12</v>
      </c>
      <c r="AF1561" s="1" t="s">
        <v>1</v>
      </c>
      <c r="AG1561">
        <f t="shared" si="51"/>
        <v>0</v>
      </c>
    </row>
    <row r="1562" spans="27:33" hidden="1" x14ac:dyDescent="0.25">
      <c r="AA1562" t="s">
        <v>610</v>
      </c>
      <c r="AB1562" s="1" t="s">
        <v>1920</v>
      </c>
      <c r="AC1562" s="1" t="s">
        <v>1</v>
      </c>
      <c r="AD1562" s="1" t="s">
        <v>7</v>
      </c>
      <c r="AE1562" s="1" t="s">
        <v>7</v>
      </c>
      <c r="AF1562" s="1" t="s">
        <v>1</v>
      </c>
      <c r="AG1562">
        <f t="shared" si="51"/>
        <v>0</v>
      </c>
    </row>
    <row r="1563" spans="27:33" hidden="1" x14ac:dyDescent="0.25">
      <c r="AA1563" t="s">
        <v>379</v>
      </c>
      <c r="AB1563" s="1" t="s">
        <v>0</v>
      </c>
      <c r="AC1563" s="1" t="s">
        <v>1917</v>
      </c>
      <c r="AD1563" s="1" t="s">
        <v>11</v>
      </c>
      <c r="AE1563" s="1" t="s">
        <v>9</v>
      </c>
      <c r="AF1563" s="1" t="s">
        <v>1</v>
      </c>
      <c r="AG1563">
        <f t="shared" si="51"/>
        <v>0</v>
      </c>
    </row>
    <row r="1564" spans="27:33" hidden="1" x14ac:dyDescent="0.25">
      <c r="AA1564" t="s">
        <v>348</v>
      </c>
      <c r="AB1564" s="1" t="s">
        <v>0</v>
      </c>
      <c r="AC1564" s="1" t="s">
        <v>1</v>
      </c>
      <c r="AD1564" s="1" t="s">
        <v>8</v>
      </c>
      <c r="AE1564" s="1" t="s">
        <v>4</v>
      </c>
      <c r="AF1564" s="1" t="s">
        <v>5</v>
      </c>
      <c r="AG1564">
        <f t="shared" si="51"/>
        <v>0</v>
      </c>
    </row>
    <row r="1565" spans="27:33" hidden="1" x14ac:dyDescent="0.25">
      <c r="AA1565" t="s">
        <v>2122</v>
      </c>
      <c r="AB1565" s="1" t="s">
        <v>15</v>
      </c>
      <c r="AC1565" s="1" t="s">
        <v>5</v>
      </c>
      <c r="AD1565" s="1" t="s">
        <v>7</v>
      </c>
      <c r="AE1565" s="1" t="s">
        <v>10</v>
      </c>
      <c r="AF1565" s="1" t="s">
        <v>6</v>
      </c>
      <c r="AG1565">
        <f t="shared" si="51"/>
        <v>0</v>
      </c>
    </row>
    <row r="1566" spans="27:33" hidden="1" x14ac:dyDescent="0.25">
      <c r="AA1566" t="s">
        <v>2140</v>
      </c>
      <c r="AB1566" s="1" t="s">
        <v>5</v>
      </c>
      <c r="AC1566" s="1" t="s">
        <v>3</v>
      </c>
      <c r="AD1566" s="1" t="s">
        <v>1921</v>
      </c>
      <c r="AE1566" s="1" t="s">
        <v>10</v>
      </c>
      <c r="AF1566" s="1" t="s">
        <v>1</v>
      </c>
      <c r="AG1566">
        <f t="shared" si="51"/>
        <v>0</v>
      </c>
    </row>
    <row r="1567" spans="27:33" hidden="1" x14ac:dyDescent="0.25">
      <c r="AA1567" t="s">
        <v>481</v>
      </c>
      <c r="AB1567" s="1" t="s">
        <v>0</v>
      </c>
      <c r="AC1567" s="1" t="s">
        <v>3</v>
      </c>
      <c r="AD1567" s="1" t="s">
        <v>8</v>
      </c>
      <c r="AE1567" s="1" t="s">
        <v>1915</v>
      </c>
      <c r="AF1567" s="1" t="s">
        <v>1</v>
      </c>
      <c r="AG1567">
        <f t="shared" si="51"/>
        <v>0</v>
      </c>
    </row>
    <row r="1568" spans="27:33" hidden="1" x14ac:dyDescent="0.25">
      <c r="AA1568" t="s">
        <v>233</v>
      </c>
      <c r="AB1568" s="1" t="s">
        <v>1914</v>
      </c>
      <c r="AC1568" s="1" t="s">
        <v>5</v>
      </c>
      <c r="AD1568" s="1" t="s">
        <v>6</v>
      </c>
      <c r="AE1568" s="1" t="s">
        <v>12</v>
      </c>
      <c r="AF1568" s="1" t="s">
        <v>5</v>
      </c>
      <c r="AG1568">
        <f t="shared" si="51"/>
        <v>0</v>
      </c>
    </row>
    <row r="1569" spans="27:33" hidden="1" x14ac:dyDescent="0.25">
      <c r="AA1569" t="s">
        <v>1694</v>
      </c>
      <c r="AB1569" s="1" t="s">
        <v>4</v>
      </c>
      <c r="AC1569" s="1" t="s">
        <v>11</v>
      </c>
      <c r="AD1569" s="1" t="s">
        <v>6</v>
      </c>
      <c r="AE1569" s="1" t="s">
        <v>8</v>
      </c>
      <c r="AF1569" s="1" t="s">
        <v>11</v>
      </c>
      <c r="AG1569">
        <f t="shared" si="51"/>
        <v>0</v>
      </c>
    </row>
    <row r="1570" spans="27:33" hidden="1" x14ac:dyDescent="0.25">
      <c r="AA1570" t="s">
        <v>370</v>
      </c>
      <c r="AB1570" s="1" t="s">
        <v>0</v>
      </c>
      <c r="AC1570" s="1" t="s">
        <v>11</v>
      </c>
      <c r="AD1570" s="1" t="s">
        <v>2</v>
      </c>
      <c r="AE1570" s="1" t="s">
        <v>4</v>
      </c>
      <c r="AF1570" s="1" t="s">
        <v>1</v>
      </c>
      <c r="AG1570">
        <f t="shared" si="51"/>
        <v>0</v>
      </c>
    </row>
    <row r="1571" spans="27:33" hidden="1" x14ac:dyDescent="0.25">
      <c r="AA1571" t="s">
        <v>901</v>
      </c>
      <c r="AB1571" s="1" t="s">
        <v>15</v>
      </c>
      <c r="AC1571" s="1" t="s">
        <v>8</v>
      </c>
      <c r="AD1571" s="1" t="s">
        <v>6</v>
      </c>
      <c r="AE1571" s="1" t="s">
        <v>10</v>
      </c>
      <c r="AF1571" s="1" t="s">
        <v>5</v>
      </c>
      <c r="AG1571">
        <f t="shared" si="51"/>
        <v>0</v>
      </c>
    </row>
    <row r="1572" spans="27:33" hidden="1" x14ac:dyDescent="0.25">
      <c r="AA1572" t="s">
        <v>803</v>
      </c>
      <c r="AB1572" s="1" t="s">
        <v>1917</v>
      </c>
      <c r="AC1572" s="1" t="s">
        <v>1</v>
      </c>
      <c r="AD1572" s="1" t="s">
        <v>7</v>
      </c>
      <c r="AE1572" s="1" t="s">
        <v>1</v>
      </c>
      <c r="AF1572" s="1" t="s">
        <v>3</v>
      </c>
      <c r="AG1572">
        <f t="shared" si="51"/>
        <v>0</v>
      </c>
    </row>
    <row r="1573" spans="27:33" hidden="1" x14ac:dyDescent="0.25">
      <c r="AA1573" t="s">
        <v>1517</v>
      </c>
      <c r="AB1573" s="1" t="s">
        <v>3</v>
      </c>
      <c r="AC1573" s="1" t="s">
        <v>8</v>
      </c>
      <c r="AD1573" s="1" t="s">
        <v>1921</v>
      </c>
      <c r="AE1573" s="1" t="s">
        <v>1914</v>
      </c>
      <c r="AF1573" s="1" t="s">
        <v>1918</v>
      </c>
      <c r="AG1573">
        <f t="shared" si="51"/>
        <v>0</v>
      </c>
    </row>
    <row r="1574" spans="27:33" hidden="1" x14ac:dyDescent="0.25">
      <c r="AA1574" t="s">
        <v>1837</v>
      </c>
      <c r="AB1574" s="1" t="s">
        <v>1919</v>
      </c>
      <c r="AC1574" s="1" t="s">
        <v>11</v>
      </c>
      <c r="AD1574" s="1" t="s">
        <v>3</v>
      </c>
      <c r="AE1574" s="1" t="s">
        <v>1921</v>
      </c>
      <c r="AF1574" s="1" t="s">
        <v>1</v>
      </c>
      <c r="AG1574">
        <f t="shared" si="51"/>
        <v>0</v>
      </c>
    </row>
    <row r="1575" spans="27:33" hidden="1" x14ac:dyDescent="0.25">
      <c r="AA1575" t="s">
        <v>2053</v>
      </c>
      <c r="AB1575" s="1" t="s">
        <v>11</v>
      </c>
      <c r="AC1575" s="1" t="s">
        <v>9</v>
      </c>
      <c r="AD1575" s="1" t="s">
        <v>5</v>
      </c>
      <c r="AE1575" s="1" t="s">
        <v>0</v>
      </c>
      <c r="AF1575" s="1" t="s">
        <v>1</v>
      </c>
      <c r="AG1575">
        <f t="shared" si="51"/>
        <v>0</v>
      </c>
    </row>
    <row r="1576" spans="27:33" hidden="1" x14ac:dyDescent="0.25">
      <c r="AA1576" t="s">
        <v>1702</v>
      </c>
      <c r="AB1576" s="1" t="s">
        <v>4</v>
      </c>
      <c r="AC1576" s="1" t="s">
        <v>11</v>
      </c>
      <c r="AD1576" s="1" t="s">
        <v>2</v>
      </c>
      <c r="AE1576" s="1" t="s">
        <v>10</v>
      </c>
      <c r="AF1576" s="1" t="s">
        <v>2</v>
      </c>
      <c r="AG1576">
        <f t="shared" si="51"/>
        <v>0</v>
      </c>
    </row>
    <row r="1577" spans="27:33" hidden="1" x14ac:dyDescent="0.25">
      <c r="AA1577" t="s">
        <v>510</v>
      </c>
      <c r="AB1577" s="1" t="s">
        <v>1915</v>
      </c>
      <c r="AC1577" s="1" t="s">
        <v>1</v>
      </c>
      <c r="AD1577" s="1" t="s">
        <v>1916</v>
      </c>
      <c r="AE1577" s="1" t="s">
        <v>1</v>
      </c>
      <c r="AF1577" s="1" t="s">
        <v>3</v>
      </c>
      <c r="AG1577">
        <f t="shared" si="51"/>
        <v>0</v>
      </c>
    </row>
    <row r="1578" spans="27:33" hidden="1" x14ac:dyDescent="0.25">
      <c r="AA1578" t="s">
        <v>1163</v>
      </c>
      <c r="AB1578" s="1" t="s">
        <v>6</v>
      </c>
      <c r="AC1578" s="1" t="s">
        <v>10</v>
      </c>
      <c r="AD1578" s="1" t="s">
        <v>11</v>
      </c>
      <c r="AE1578" s="1" t="s">
        <v>4</v>
      </c>
      <c r="AF1578" s="1" t="s">
        <v>5</v>
      </c>
      <c r="AG1578">
        <f t="shared" si="51"/>
        <v>0</v>
      </c>
    </row>
    <row r="1579" spans="27:33" hidden="1" x14ac:dyDescent="0.25">
      <c r="AA1579" t="s">
        <v>694</v>
      </c>
      <c r="AB1579" s="1" t="s">
        <v>1920</v>
      </c>
      <c r="AC1579" s="1" t="s">
        <v>8</v>
      </c>
      <c r="AD1579" s="1" t="s">
        <v>1915</v>
      </c>
      <c r="AE1579" s="1" t="s">
        <v>3</v>
      </c>
      <c r="AF1579" s="1" t="s">
        <v>11</v>
      </c>
      <c r="AG1579">
        <f t="shared" si="51"/>
        <v>0</v>
      </c>
    </row>
    <row r="1580" spans="27:33" hidden="1" x14ac:dyDescent="0.25">
      <c r="AA1580" t="s">
        <v>208</v>
      </c>
      <c r="AB1580" s="1" t="s">
        <v>1914</v>
      </c>
      <c r="AC1580" s="1" t="s">
        <v>10</v>
      </c>
      <c r="AD1580" s="1" t="s">
        <v>11</v>
      </c>
      <c r="AE1580" s="1" t="s">
        <v>7</v>
      </c>
      <c r="AF1580" s="1" t="s">
        <v>1</v>
      </c>
      <c r="AG1580">
        <f t="shared" si="51"/>
        <v>0</v>
      </c>
    </row>
    <row r="1581" spans="27:33" hidden="1" x14ac:dyDescent="0.25">
      <c r="AA1581" t="s">
        <v>1229</v>
      </c>
      <c r="AB1581" s="1" t="s">
        <v>5</v>
      </c>
      <c r="AC1581" s="1" t="s">
        <v>3</v>
      </c>
      <c r="AD1581" s="1" t="s">
        <v>7</v>
      </c>
      <c r="AE1581" s="1" t="s">
        <v>1</v>
      </c>
      <c r="AF1581" s="1" t="s">
        <v>3</v>
      </c>
      <c r="AG1581">
        <f t="shared" si="51"/>
        <v>0</v>
      </c>
    </row>
    <row r="1582" spans="27:33" hidden="1" x14ac:dyDescent="0.25">
      <c r="AA1582" t="s">
        <v>1220</v>
      </c>
      <c r="AB1582" s="1" t="s">
        <v>5</v>
      </c>
      <c r="AC1582" s="1" t="s">
        <v>13</v>
      </c>
      <c r="AD1582" s="1" t="s">
        <v>10</v>
      </c>
      <c r="AE1582" s="1" t="s">
        <v>2</v>
      </c>
      <c r="AF1582" s="1" t="s">
        <v>5</v>
      </c>
      <c r="AG1582">
        <f t="shared" si="51"/>
        <v>0</v>
      </c>
    </row>
    <row r="1583" spans="27:33" hidden="1" x14ac:dyDescent="0.25">
      <c r="AA1583" t="s">
        <v>265</v>
      </c>
      <c r="AB1583" s="1" t="s">
        <v>1914</v>
      </c>
      <c r="AC1583" s="1" t="s">
        <v>8</v>
      </c>
      <c r="AD1583" s="1" t="s">
        <v>0</v>
      </c>
      <c r="AE1583" s="1" t="s">
        <v>1917</v>
      </c>
      <c r="AF1583" s="1" t="s">
        <v>11</v>
      </c>
      <c r="AG1583">
        <f t="shared" si="51"/>
        <v>0</v>
      </c>
    </row>
    <row r="1584" spans="27:33" hidden="1" x14ac:dyDescent="0.25">
      <c r="AA1584" t="s">
        <v>720</v>
      </c>
      <c r="AB1584" s="1" t="s">
        <v>1921</v>
      </c>
      <c r="AC1584" s="1" t="s">
        <v>1</v>
      </c>
      <c r="AD1584" s="1" t="s">
        <v>3</v>
      </c>
      <c r="AE1584" s="1" t="s">
        <v>1914</v>
      </c>
      <c r="AF1584" s="1" t="s">
        <v>5</v>
      </c>
      <c r="AG1584">
        <f t="shared" si="51"/>
        <v>0</v>
      </c>
    </row>
    <row r="1585" spans="27:33" hidden="1" x14ac:dyDescent="0.25">
      <c r="AA1585" t="s">
        <v>765</v>
      </c>
      <c r="AB1585" s="1" t="s">
        <v>1921</v>
      </c>
      <c r="AC1585" s="1" t="s">
        <v>3</v>
      </c>
      <c r="AD1585" s="1" t="s">
        <v>1</v>
      </c>
      <c r="AE1585" s="1" t="s">
        <v>1919</v>
      </c>
      <c r="AF1585" s="1" t="s">
        <v>11</v>
      </c>
      <c r="AG1585">
        <f t="shared" si="51"/>
        <v>0</v>
      </c>
    </row>
    <row r="1586" spans="27:33" hidden="1" x14ac:dyDescent="0.25">
      <c r="AA1586" t="s">
        <v>993</v>
      </c>
      <c r="AB1586" s="1" t="s">
        <v>7</v>
      </c>
      <c r="AC1586" s="1" t="s">
        <v>8</v>
      </c>
      <c r="AD1586" s="1" t="s">
        <v>1921</v>
      </c>
      <c r="AE1586" s="1" t="s">
        <v>1</v>
      </c>
      <c r="AF1586" s="1" t="s">
        <v>3</v>
      </c>
      <c r="AG1586">
        <f t="shared" si="51"/>
        <v>0</v>
      </c>
    </row>
    <row r="1587" spans="27:33" hidden="1" x14ac:dyDescent="0.25">
      <c r="AA1587" t="s">
        <v>669</v>
      </c>
      <c r="AB1587" s="1" t="s">
        <v>1920</v>
      </c>
      <c r="AC1587" s="1" t="s">
        <v>7</v>
      </c>
      <c r="AD1587" s="1" t="s">
        <v>5</v>
      </c>
      <c r="AE1587" s="1" t="s">
        <v>4</v>
      </c>
      <c r="AF1587" s="1" t="s">
        <v>1</v>
      </c>
      <c r="AG1587">
        <f t="shared" si="51"/>
        <v>0</v>
      </c>
    </row>
    <row r="1588" spans="27:33" hidden="1" x14ac:dyDescent="0.25">
      <c r="AA1588" t="s">
        <v>1536</v>
      </c>
      <c r="AB1588" s="1" t="s">
        <v>2</v>
      </c>
      <c r="AC1588" s="1" t="s">
        <v>1</v>
      </c>
      <c r="AD1588" s="1" t="s">
        <v>15</v>
      </c>
      <c r="AE1588" s="1" t="s">
        <v>1</v>
      </c>
      <c r="AF1588" s="1" t="s">
        <v>3</v>
      </c>
      <c r="AG1588">
        <f t="shared" si="51"/>
        <v>0</v>
      </c>
    </row>
    <row r="1589" spans="27:33" hidden="1" x14ac:dyDescent="0.25">
      <c r="AA1589" t="s">
        <v>1614</v>
      </c>
      <c r="AB1589" s="1" t="s">
        <v>2</v>
      </c>
      <c r="AC1589" s="1" t="s">
        <v>5</v>
      </c>
      <c r="AD1589" s="1" t="s">
        <v>7</v>
      </c>
      <c r="AE1589" s="1" t="s">
        <v>1920</v>
      </c>
      <c r="AF1589" s="1" t="s">
        <v>1</v>
      </c>
      <c r="AG1589">
        <f t="shared" si="51"/>
        <v>0</v>
      </c>
    </row>
    <row r="1590" spans="27:33" hidden="1" x14ac:dyDescent="0.25">
      <c r="AA1590" t="s">
        <v>1978</v>
      </c>
      <c r="AB1590" s="1" t="s">
        <v>13</v>
      </c>
      <c r="AC1590" s="1" t="s">
        <v>1</v>
      </c>
      <c r="AD1590" s="1" t="s">
        <v>3</v>
      </c>
      <c r="AE1590" s="1" t="s">
        <v>11</v>
      </c>
      <c r="AF1590" s="1" t="s">
        <v>2</v>
      </c>
      <c r="AG1590">
        <f t="shared" si="51"/>
        <v>0</v>
      </c>
    </row>
    <row r="1591" spans="27:33" hidden="1" x14ac:dyDescent="0.25">
      <c r="AA1591" t="s">
        <v>545</v>
      </c>
      <c r="AB1591" s="1" t="s">
        <v>1915</v>
      </c>
      <c r="AC1591" s="1" t="s">
        <v>5</v>
      </c>
      <c r="AD1591" s="1" t="s">
        <v>7</v>
      </c>
      <c r="AE1591" s="1" t="s">
        <v>5</v>
      </c>
      <c r="AF1591" s="1" t="s">
        <v>3</v>
      </c>
      <c r="AG1591">
        <f t="shared" si="51"/>
        <v>0</v>
      </c>
    </row>
    <row r="1592" spans="27:33" hidden="1" x14ac:dyDescent="0.25">
      <c r="AA1592" t="s">
        <v>136</v>
      </c>
      <c r="AB1592" s="1" t="s">
        <v>1</v>
      </c>
      <c r="AC1592" s="1" t="s">
        <v>4</v>
      </c>
      <c r="AD1592" s="1" t="s">
        <v>3</v>
      </c>
      <c r="AE1592" s="1" t="s">
        <v>10</v>
      </c>
      <c r="AF1592" s="1" t="s">
        <v>5</v>
      </c>
      <c r="AG1592">
        <f t="shared" si="51"/>
        <v>0</v>
      </c>
    </row>
    <row r="1593" spans="27:33" hidden="1" x14ac:dyDescent="0.25">
      <c r="AA1593" t="s">
        <v>1297</v>
      </c>
      <c r="AB1593" s="1" t="s">
        <v>9</v>
      </c>
      <c r="AC1593" s="1" t="s">
        <v>11</v>
      </c>
      <c r="AD1593" s="1" t="s">
        <v>1915</v>
      </c>
      <c r="AE1593" s="1" t="s">
        <v>10</v>
      </c>
      <c r="AF1593" s="1" t="s">
        <v>3</v>
      </c>
      <c r="AG1593">
        <f t="shared" si="51"/>
        <v>0</v>
      </c>
    </row>
    <row r="1594" spans="27:33" hidden="1" x14ac:dyDescent="0.25">
      <c r="AA1594" t="s">
        <v>81</v>
      </c>
      <c r="AB1594" s="1" t="s">
        <v>1</v>
      </c>
      <c r="AC1594" s="1" t="s">
        <v>1916</v>
      </c>
      <c r="AD1594" s="1" t="s">
        <v>1</v>
      </c>
      <c r="AE1594" s="1" t="s">
        <v>1915</v>
      </c>
      <c r="AF1594" s="1" t="s">
        <v>1</v>
      </c>
      <c r="AG1594">
        <f t="shared" si="51"/>
        <v>0</v>
      </c>
    </row>
    <row r="1595" spans="27:33" hidden="1" x14ac:dyDescent="0.25">
      <c r="AA1595" t="s">
        <v>2127</v>
      </c>
      <c r="AB1595" s="1" t="s">
        <v>3</v>
      </c>
      <c r="AC1595" s="1" t="s">
        <v>1</v>
      </c>
      <c r="AD1595" s="1" t="s">
        <v>10</v>
      </c>
      <c r="AE1595" s="1" t="s">
        <v>1915</v>
      </c>
      <c r="AF1595" s="1" t="s">
        <v>5</v>
      </c>
      <c r="AG1595">
        <f t="shared" si="51"/>
        <v>0</v>
      </c>
    </row>
    <row r="1596" spans="27:33" hidden="1" x14ac:dyDescent="0.25">
      <c r="AA1596" t="s">
        <v>722</v>
      </c>
      <c r="AB1596" s="1" t="s">
        <v>1921</v>
      </c>
      <c r="AC1596" s="1" t="s">
        <v>1</v>
      </c>
      <c r="AD1596" s="1" t="s">
        <v>3</v>
      </c>
      <c r="AE1596" s="1" t="s">
        <v>12</v>
      </c>
      <c r="AF1596" s="1" t="s">
        <v>1</v>
      </c>
      <c r="AG1596">
        <f t="shared" si="51"/>
        <v>0</v>
      </c>
    </row>
    <row r="1597" spans="27:33" hidden="1" x14ac:dyDescent="0.25">
      <c r="AA1597" t="s">
        <v>2184</v>
      </c>
      <c r="AB1597" s="1" t="s">
        <v>1914</v>
      </c>
      <c r="AC1597" s="1" t="s">
        <v>1</v>
      </c>
      <c r="AD1597" s="1" t="s">
        <v>15</v>
      </c>
      <c r="AE1597" s="1" t="s">
        <v>5</v>
      </c>
      <c r="AF1597" s="1" t="s">
        <v>6</v>
      </c>
      <c r="AG1597">
        <f t="shared" si="51"/>
        <v>0</v>
      </c>
    </row>
    <row r="1598" spans="27:33" hidden="1" x14ac:dyDescent="0.25">
      <c r="AA1598" t="s">
        <v>678</v>
      </c>
      <c r="AB1598" s="1" t="s">
        <v>1920</v>
      </c>
      <c r="AC1598" s="1" t="s">
        <v>5</v>
      </c>
      <c r="AD1598" s="1" t="s">
        <v>1923</v>
      </c>
      <c r="AE1598" s="1" t="s">
        <v>8</v>
      </c>
      <c r="AF1598" s="1" t="s">
        <v>11</v>
      </c>
      <c r="AG1598">
        <f t="shared" si="51"/>
        <v>0</v>
      </c>
    </row>
    <row r="1599" spans="27:33" hidden="1" x14ac:dyDescent="0.25">
      <c r="AA1599" t="s">
        <v>1444</v>
      </c>
      <c r="AB1599" s="1" t="s">
        <v>3</v>
      </c>
      <c r="AC1599" s="1" t="s">
        <v>1</v>
      </c>
      <c r="AD1599" s="1" t="s">
        <v>2</v>
      </c>
      <c r="AE1599" s="1" t="s">
        <v>4</v>
      </c>
      <c r="AF1599" s="1" t="s">
        <v>1</v>
      </c>
      <c r="AG1599">
        <f t="shared" si="51"/>
        <v>0</v>
      </c>
    </row>
    <row r="1600" spans="27:33" hidden="1" x14ac:dyDescent="0.25">
      <c r="AA1600" t="s">
        <v>2148</v>
      </c>
      <c r="AB1600" s="1" t="s">
        <v>3</v>
      </c>
      <c r="AC1600" s="1" t="s">
        <v>5</v>
      </c>
      <c r="AD1600" s="1" t="s">
        <v>0</v>
      </c>
      <c r="AE1600" s="1" t="s">
        <v>10</v>
      </c>
      <c r="AF1600" s="1" t="s">
        <v>5</v>
      </c>
      <c r="AG1600">
        <f t="shared" si="51"/>
        <v>0</v>
      </c>
    </row>
    <row r="1601" spans="27:33" hidden="1" x14ac:dyDescent="0.25">
      <c r="AA1601" t="s">
        <v>651</v>
      </c>
      <c r="AB1601" s="1" t="s">
        <v>1920</v>
      </c>
      <c r="AC1601" s="1" t="s">
        <v>10</v>
      </c>
      <c r="AD1601" s="1" t="s">
        <v>6</v>
      </c>
      <c r="AE1601" s="1" t="s">
        <v>4</v>
      </c>
      <c r="AF1601" s="1" t="s">
        <v>1</v>
      </c>
      <c r="AG1601">
        <f t="shared" si="51"/>
        <v>0</v>
      </c>
    </row>
    <row r="1602" spans="27:33" hidden="1" x14ac:dyDescent="0.25">
      <c r="AA1602" t="s">
        <v>1729</v>
      </c>
      <c r="AB1602" s="1" t="s">
        <v>4</v>
      </c>
      <c r="AC1602" s="1" t="s">
        <v>5</v>
      </c>
      <c r="AD1602" s="1" t="s">
        <v>6</v>
      </c>
      <c r="AE1602" s="1" t="s">
        <v>1921</v>
      </c>
      <c r="AF1602" s="1" t="s">
        <v>5</v>
      </c>
      <c r="AG1602">
        <f t="shared" si="51"/>
        <v>0</v>
      </c>
    </row>
    <row r="1603" spans="27:33" hidden="1" x14ac:dyDescent="0.25">
      <c r="AA1603" t="s">
        <v>927</v>
      </c>
      <c r="AB1603" s="1" t="s">
        <v>7</v>
      </c>
      <c r="AC1603" s="1" t="s">
        <v>1</v>
      </c>
      <c r="AD1603" s="1" t="s">
        <v>3</v>
      </c>
      <c r="AE1603" s="1" t="s">
        <v>1921</v>
      </c>
      <c r="AF1603" s="1" t="s">
        <v>1</v>
      </c>
      <c r="AG1603">
        <f t="shared" ref="AG1603:AG1666" si="52">IF(AND(Z1603&gt;0,Z1603&lt;7),AG1602+1,0)</f>
        <v>0</v>
      </c>
    </row>
    <row r="1604" spans="27:33" hidden="1" x14ac:dyDescent="0.25">
      <c r="AA1604" t="s">
        <v>1287</v>
      </c>
      <c r="AB1604" s="1" t="s">
        <v>9</v>
      </c>
      <c r="AC1604" s="1" t="s">
        <v>1</v>
      </c>
      <c r="AD1604" s="1" t="s">
        <v>4</v>
      </c>
      <c r="AE1604" s="1" t="s">
        <v>10</v>
      </c>
      <c r="AF1604" s="1" t="s">
        <v>5</v>
      </c>
      <c r="AG1604">
        <f t="shared" si="52"/>
        <v>0</v>
      </c>
    </row>
    <row r="1605" spans="27:33" hidden="1" x14ac:dyDescent="0.25">
      <c r="AA1605" t="s">
        <v>186</v>
      </c>
      <c r="AB1605" s="1" t="s">
        <v>1914</v>
      </c>
      <c r="AC1605" s="1" t="s">
        <v>1</v>
      </c>
      <c r="AD1605" s="1" t="s">
        <v>2</v>
      </c>
      <c r="AE1605" s="1" t="s">
        <v>4</v>
      </c>
      <c r="AF1605" s="1" t="s">
        <v>5</v>
      </c>
      <c r="AG1605">
        <f t="shared" si="52"/>
        <v>0</v>
      </c>
    </row>
    <row r="1606" spans="27:33" hidden="1" x14ac:dyDescent="0.25">
      <c r="AA1606" t="s">
        <v>2006</v>
      </c>
      <c r="AB1606" s="1" t="s">
        <v>2</v>
      </c>
      <c r="AC1606" s="1" t="s">
        <v>11</v>
      </c>
      <c r="AD1606" s="1" t="s">
        <v>1915</v>
      </c>
      <c r="AE1606" s="1" t="s">
        <v>1</v>
      </c>
      <c r="AF1606" s="1" t="s">
        <v>6</v>
      </c>
      <c r="AG1606">
        <f t="shared" si="52"/>
        <v>0</v>
      </c>
    </row>
    <row r="1607" spans="27:33" hidden="1" x14ac:dyDescent="0.25">
      <c r="AA1607" t="s">
        <v>1760</v>
      </c>
      <c r="AB1607" s="1" t="s">
        <v>4</v>
      </c>
      <c r="AC1607" s="1" t="s">
        <v>3</v>
      </c>
      <c r="AD1607" s="1" t="s">
        <v>11</v>
      </c>
      <c r="AE1607" s="1" t="s">
        <v>0</v>
      </c>
      <c r="AF1607" s="1" t="s">
        <v>11</v>
      </c>
      <c r="AG1607">
        <f t="shared" si="52"/>
        <v>0</v>
      </c>
    </row>
    <row r="1608" spans="27:33" hidden="1" x14ac:dyDescent="0.25">
      <c r="AA1608" t="s">
        <v>219</v>
      </c>
      <c r="AB1608" s="1" t="s">
        <v>1914</v>
      </c>
      <c r="AC1608" s="1" t="s">
        <v>5</v>
      </c>
      <c r="AD1608" s="1" t="s">
        <v>1</v>
      </c>
      <c r="AE1608" s="1" t="s">
        <v>4</v>
      </c>
      <c r="AF1608" s="1" t="s">
        <v>5</v>
      </c>
      <c r="AG1608">
        <f t="shared" si="52"/>
        <v>0</v>
      </c>
    </row>
    <row r="1609" spans="27:33" hidden="1" x14ac:dyDescent="0.25">
      <c r="AA1609" t="s">
        <v>1995</v>
      </c>
      <c r="AB1609" s="1" t="s">
        <v>15</v>
      </c>
      <c r="AC1609" s="1" t="s">
        <v>1</v>
      </c>
      <c r="AD1609" s="1" t="s">
        <v>13</v>
      </c>
      <c r="AE1609" s="1" t="s">
        <v>1</v>
      </c>
      <c r="AF1609" s="1" t="s">
        <v>2</v>
      </c>
      <c r="AG1609">
        <f t="shared" si="52"/>
        <v>0</v>
      </c>
    </row>
    <row r="1610" spans="27:33" hidden="1" x14ac:dyDescent="0.25">
      <c r="AA1610" t="s">
        <v>371</v>
      </c>
      <c r="AB1610" s="1" t="s">
        <v>0</v>
      </c>
      <c r="AC1610" s="1" t="s">
        <v>11</v>
      </c>
      <c r="AD1610" s="1" t="s">
        <v>2</v>
      </c>
      <c r="AE1610" s="1" t="s">
        <v>4</v>
      </c>
      <c r="AF1610" s="1" t="s">
        <v>5</v>
      </c>
      <c r="AG1610">
        <f t="shared" si="52"/>
        <v>0</v>
      </c>
    </row>
    <row r="1611" spans="27:33" hidden="1" x14ac:dyDescent="0.25">
      <c r="AA1611" t="s">
        <v>2260</v>
      </c>
      <c r="AB1611" s="1" t="s">
        <v>4</v>
      </c>
      <c r="AC1611" s="1" t="s">
        <v>1</v>
      </c>
      <c r="AD1611" s="1" t="s">
        <v>12</v>
      </c>
      <c r="AE1611" s="1" t="s">
        <v>5</v>
      </c>
      <c r="AF1611" s="1" t="s">
        <v>6</v>
      </c>
      <c r="AG1611">
        <f t="shared" si="52"/>
        <v>0</v>
      </c>
    </row>
    <row r="1612" spans="27:33" hidden="1" x14ac:dyDescent="0.25">
      <c r="AA1612" t="s">
        <v>835</v>
      </c>
      <c r="AB1612" s="1" t="s">
        <v>1917</v>
      </c>
      <c r="AC1612" s="1" t="s">
        <v>5</v>
      </c>
      <c r="AD1612" s="1" t="s">
        <v>3</v>
      </c>
      <c r="AE1612" s="1" t="s">
        <v>0</v>
      </c>
      <c r="AF1612" s="1" t="s">
        <v>1</v>
      </c>
      <c r="AG1612">
        <f t="shared" si="52"/>
        <v>0</v>
      </c>
    </row>
    <row r="1613" spans="27:33" hidden="1" x14ac:dyDescent="0.25">
      <c r="AA1613" t="s">
        <v>1819</v>
      </c>
      <c r="AB1613" s="1" t="s">
        <v>1919</v>
      </c>
      <c r="AC1613" s="1" t="s">
        <v>1</v>
      </c>
      <c r="AD1613" s="1" t="s">
        <v>2</v>
      </c>
      <c r="AE1613" s="1" t="s">
        <v>4</v>
      </c>
      <c r="AF1613" s="1" t="s">
        <v>1</v>
      </c>
      <c r="AG1613">
        <f t="shared" si="52"/>
        <v>0</v>
      </c>
    </row>
    <row r="1614" spans="27:33" hidden="1" x14ac:dyDescent="0.25">
      <c r="AA1614" t="s">
        <v>2145</v>
      </c>
      <c r="AB1614" s="1" t="s">
        <v>9</v>
      </c>
      <c r="AC1614" s="1" t="s">
        <v>1</v>
      </c>
      <c r="AD1614" s="1" t="s">
        <v>4</v>
      </c>
      <c r="AE1614" s="1" t="s">
        <v>10</v>
      </c>
      <c r="AF1614" s="1" t="s">
        <v>6</v>
      </c>
      <c r="AG1614">
        <f t="shared" si="52"/>
        <v>0</v>
      </c>
    </row>
    <row r="1615" spans="27:33" hidden="1" x14ac:dyDescent="0.25">
      <c r="AA1615" t="s">
        <v>1686</v>
      </c>
      <c r="AB1615" s="1" t="s">
        <v>4</v>
      </c>
      <c r="AC1615" s="1" t="s">
        <v>11</v>
      </c>
      <c r="AD1615" s="1" t="s">
        <v>13</v>
      </c>
      <c r="AE1615" s="1" t="s">
        <v>9</v>
      </c>
      <c r="AF1615" s="1" t="s">
        <v>5</v>
      </c>
      <c r="AG1615">
        <f t="shared" si="52"/>
        <v>0</v>
      </c>
    </row>
    <row r="1616" spans="27:33" hidden="1" x14ac:dyDescent="0.25">
      <c r="AA1616" t="s">
        <v>2092</v>
      </c>
      <c r="AB1616" s="1" t="s">
        <v>14</v>
      </c>
      <c r="AC1616" s="1" t="s">
        <v>11</v>
      </c>
      <c r="AD1616" s="1" t="s">
        <v>1920</v>
      </c>
      <c r="AE1616" s="1" t="s">
        <v>10</v>
      </c>
      <c r="AF1616" s="1" t="s">
        <v>3</v>
      </c>
      <c r="AG1616">
        <f t="shared" si="52"/>
        <v>0</v>
      </c>
    </row>
    <row r="1617" spans="27:33" hidden="1" x14ac:dyDescent="0.25">
      <c r="AA1617" t="s">
        <v>1959</v>
      </c>
      <c r="AB1617" s="1" t="s">
        <v>1920</v>
      </c>
      <c r="AC1617" s="1" t="s">
        <v>5</v>
      </c>
      <c r="AD1617" s="1" t="s">
        <v>0</v>
      </c>
      <c r="AE1617" s="1" t="s">
        <v>5</v>
      </c>
      <c r="AF1617" s="1" t="s">
        <v>2</v>
      </c>
      <c r="AG1617">
        <f t="shared" si="52"/>
        <v>0</v>
      </c>
    </row>
    <row r="1618" spans="27:33" hidden="1" x14ac:dyDescent="0.25">
      <c r="AA1618" t="s">
        <v>394</v>
      </c>
      <c r="AB1618" s="1" t="s">
        <v>0</v>
      </c>
      <c r="AC1618" s="1" t="s">
        <v>1917</v>
      </c>
      <c r="AD1618" s="1" t="s">
        <v>5</v>
      </c>
      <c r="AE1618" s="1" t="s">
        <v>4</v>
      </c>
      <c r="AF1618" s="1" t="s">
        <v>5</v>
      </c>
      <c r="AG1618">
        <f t="shared" si="52"/>
        <v>0</v>
      </c>
    </row>
    <row r="1619" spans="27:33" hidden="1" x14ac:dyDescent="0.25">
      <c r="AA1619" t="s">
        <v>1896</v>
      </c>
      <c r="AB1619" s="1" t="s">
        <v>12</v>
      </c>
      <c r="AC1619" s="1" t="s">
        <v>1</v>
      </c>
      <c r="AD1619" s="1" t="s">
        <v>1920</v>
      </c>
      <c r="AE1619" s="1" t="s">
        <v>10</v>
      </c>
      <c r="AF1619" s="1" t="s">
        <v>5</v>
      </c>
      <c r="AG1619">
        <f t="shared" si="52"/>
        <v>0</v>
      </c>
    </row>
    <row r="1620" spans="27:33" hidden="1" x14ac:dyDescent="0.25">
      <c r="AA1620" t="s">
        <v>1666</v>
      </c>
      <c r="AB1620" s="1" t="s">
        <v>4</v>
      </c>
      <c r="AC1620" s="1" t="s">
        <v>1</v>
      </c>
      <c r="AD1620" s="1" t="s">
        <v>3</v>
      </c>
      <c r="AE1620" s="1" t="s">
        <v>1</v>
      </c>
      <c r="AF1620" s="1" t="s">
        <v>3</v>
      </c>
      <c r="AG1620">
        <f t="shared" si="52"/>
        <v>0</v>
      </c>
    </row>
    <row r="1621" spans="27:33" hidden="1" x14ac:dyDescent="0.25">
      <c r="AA1621" t="s">
        <v>231</v>
      </c>
      <c r="AB1621" s="1" t="s">
        <v>1914</v>
      </c>
      <c r="AC1621" s="1" t="s">
        <v>5</v>
      </c>
      <c r="AD1621" s="1" t="s">
        <v>6</v>
      </c>
      <c r="AE1621" s="1" t="s">
        <v>1921</v>
      </c>
      <c r="AF1621" s="1" t="s">
        <v>5</v>
      </c>
      <c r="AG1621">
        <f t="shared" si="52"/>
        <v>0</v>
      </c>
    </row>
    <row r="1622" spans="27:33" hidden="1" x14ac:dyDescent="0.25">
      <c r="AA1622" t="s">
        <v>1194</v>
      </c>
      <c r="AB1622" s="1" t="s">
        <v>6</v>
      </c>
      <c r="AC1622" s="1" t="s">
        <v>8</v>
      </c>
      <c r="AD1622" s="1" t="s">
        <v>11</v>
      </c>
      <c r="AE1622" s="1" t="s">
        <v>1919</v>
      </c>
      <c r="AF1622" s="1" t="s">
        <v>5</v>
      </c>
      <c r="AG1622">
        <f t="shared" si="52"/>
        <v>0</v>
      </c>
    </row>
    <row r="1623" spans="27:33" hidden="1" x14ac:dyDescent="0.25">
      <c r="AA1623" t="s">
        <v>406</v>
      </c>
      <c r="AB1623" s="1" t="s">
        <v>0</v>
      </c>
      <c r="AC1623" s="1" t="s">
        <v>10</v>
      </c>
      <c r="AD1623" s="1" t="s">
        <v>11</v>
      </c>
      <c r="AE1623" s="1" t="s">
        <v>7</v>
      </c>
      <c r="AF1623" s="1" t="s">
        <v>5</v>
      </c>
      <c r="AG1623">
        <f t="shared" si="52"/>
        <v>0</v>
      </c>
    </row>
    <row r="1624" spans="27:33" hidden="1" x14ac:dyDescent="0.25">
      <c r="AA1624" t="s">
        <v>581</v>
      </c>
      <c r="AB1624" s="1" t="s">
        <v>11</v>
      </c>
      <c r="AC1624" s="1" t="s">
        <v>6</v>
      </c>
      <c r="AD1624" s="1" t="s">
        <v>1</v>
      </c>
      <c r="AE1624" s="1" t="s">
        <v>6</v>
      </c>
      <c r="AF1624" s="1" t="s">
        <v>1</v>
      </c>
      <c r="AG1624">
        <f t="shared" si="52"/>
        <v>0</v>
      </c>
    </row>
    <row r="1625" spans="27:33" hidden="1" x14ac:dyDescent="0.25">
      <c r="AA1625" t="s">
        <v>578</v>
      </c>
      <c r="AB1625" s="1" t="s">
        <v>11</v>
      </c>
      <c r="AC1625" s="1" t="s">
        <v>7</v>
      </c>
      <c r="AD1625" s="1" t="s">
        <v>7</v>
      </c>
      <c r="AE1625" s="1" t="s">
        <v>1</v>
      </c>
      <c r="AF1625" s="1" t="s">
        <v>2</v>
      </c>
      <c r="AG1625">
        <f t="shared" si="52"/>
        <v>0</v>
      </c>
    </row>
    <row r="1626" spans="27:33" hidden="1" x14ac:dyDescent="0.25">
      <c r="AA1626" t="s">
        <v>75</v>
      </c>
      <c r="AB1626" s="1" t="s">
        <v>1</v>
      </c>
      <c r="AC1626" s="1" t="s">
        <v>13</v>
      </c>
      <c r="AD1626" s="1" t="s">
        <v>11</v>
      </c>
      <c r="AE1626" s="1" t="s">
        <v>6</v>
      </c>
      <c r="AF1626" s="1" t="s">
        <v>5</v>
      </c>
      <c r="AG1626">
        <f t="shared" si="52"/>
        <v>0</v>
      </c>
    </row>
    <row r="1627" spans="27:33" hidden="1" x14ac:dyDescent="0.25">
      <c r="AA1627" t="s">
        <v>718</v>
      </c>
      <c r="AB1627" s="1" t="s">
        <v>1921</v>
      </c>
      <c r="AC1627" s="1" t="s">
        <v>1</v>
      </c>
      <c r="AD1627" s="1" t="s">
        <v>6</v>
      </c>
      <c r="AE1627" s="1" t="s">
        <v>2</v>
      </c>
      <c r="AF1627" s="1" t="s">
        <v>1</v>
      </c>
      <c r="AG1627">
        <f t="shared" si="52"/>
        <v>0</v>
      </c>
    </row>
    <row r="1628" spans="27:33" hidden="1" x14ac:dyDescent="0.25">
      <c r="AA1628" t="s">
        <v>903</v>
      </c>
      <c r="AB1628" s="1" t="s">
        <v>15</v>
      </c>
      <c r="AC1628" s="1" t="s">
        <v>8</v>
      </c>
      <c r="AD1628" s="1" t="s">
        <v>6</v>
      </c>
      <c r="AE1628" s="1" t="s">
        <v>4</v>
      </c>
      <c r="AF1628" s="1" t="s">
        <v>5</v>
      </c>
      <c r="AG1628">
        <f t="shared" si="52"/>
        <v>0</v>
      </c>
    </row>
    <row r="1629" spans="27:33" hidden="1" x14ac:dyDescent="0.25">
      <c r="AA1629" t="s">
        <v>2248</v>
      </c>
      <c r="AB1629" s="1" t="s">
        <v>5</v>
      </c>
      <c r="AC1629" s="1" t="s">
        <v>9</v>
      </c>
      <c r="AD1629" s="1" t="s">
        <v>1</v>
      </c>
      <c r="AE1629" s="1" t="s">
        <v>7</v>
      </c>
      <c r="AF1629" s="1" t="s">
        <v>5</v>
      </c>
      <c r="AG1629">
        <f t="shared" si="52"/>
        <v>0</v>
      </c>
    </row>
    <row r="1630" spans="27:33" hidden="1" x14ac:dyDescent="0.25">
      <c r="AA1630" t="s">
        <v>1020</v>
      </c>
      <c r="AB1630" s="1" t="s">
        <v>13</v>
      </c>
      <c r="AC1630" s="1" t="s">
        <v>1</v>
      </c>
      <c r="AD1630" s="1" t="s">
        <v>6</v>
      </c>
      <c r="AE1630" s="1" t="s">
        <v>1</v>
      </c>
      <c r="AF1630" s="1" t="s">
        <v>3</v>
      </c>
      <c r="AG1630">
        <f t="shared" si="52"/>
        <v>0</v>
      </c>
    </row>
    <row r="1631" spans="27:33" hidden="1" x14ac:dyDescent="0.25">
      <c r="AA1631" t="s">
        <v>2166</v>
      </c>
      <c r="AB1631" s="1" t="s">
        <v>0</v>
      </c>
      <c r="AC1631" s="1" t="s">
        <v>1</v>
      </c>
      <c r="AD1631" s="1" t="s">
        <v>10</v>
      </c>
      <c r="AE1631" s="1" t="s">
        <v>1915</v>
      </c>
      <c r="AF1631" s="1" t="s">
        <v>5</v>
      </c>
      <c r="AG1631">
        <f t="shared" si="52"/>
        <v>0</v>
      </c>
    </row>
    <row r="1632" spans="27:33" hidden="1" x14ac:dyDescent="0.25">
      <c r="AA1632" t="s">
        <v>589</v>
      </c>
      <c r="AB1632" s="1" t="s">
        <v>11</v>
      </c>
      <c r="AC1632" s="1" t="s">
        <v>3</v>
      </c>
      <c r="AD1632" s="1" t="s">
        <v>1914</v>
      </c>
      <c r="AE1632" s="1" t="s">
        <v>10</v>
      </c>
      <c r="AF1632" s="1" t="s">
        <v>5</v>
      </c>
      <c r="AG1632">
        <f t="shared" si="52"/>
        <v>0</v>
      </c>
    </row>
    <row r="1633" spans="27:33" hidden="1" x14ac:dyDescent="0.25">
      <c r="AA1633" t="s">
        <v>1618</v>
      </c>
      <c r="AB1633" s="1" t="s">
        <v>2</v>
      </c>
      <c r="AC1633" s="1" t="s">
        <v>5</v>
      </c>
      <c r="AD1633" s="1" t="s">
        <v>9</v>
      </c>
      <c r="AE1633" s="1" t="s">
        <v>7</v>
      </c>
      <c r="AF1633" s="1" t="s">
        <v>5</v>
      </c>
      <c r="AG1633">
        <f t="shared" si="52"/>
        <v>0</v>
      </c>
    </row>
    <row r="1634" spans="27:33" hidden="1" x14ac:dyDescent="0.25">
      <c r="AA1634" t="s">
        <v>839</v>
      </c>
      <c r="AB1634" s="1" t="s">
        <v>1917</v>
      </c>
      <c r="AC1634" s="1" t="s">
        <v>5</v>
      </c>
      <c r="AD1634" s="1" t="s">
        <v>3</v>
      </c>
      <c r="AE1634" s="1" t="s">
        <v>6</v>
      </c>
      <c r="AF1634" s="1" t="s">
        <v>5</v>
      </c>
      <c r="AG1634">
        <f t="shared" si="52"/>
        <v>0</v>
      </c>
    </row>
    <row r="1635" spans="27:33" hidden="1" x14ac:dyDescent="0.25">
      <c r="AA1635" t="s">
        <v>2224</v>
      </c>
      <c r="AB1635" s="1" t="s">
        <v>3</v>
      </c>
      <c r="AC1635" s="1" t="s">
        <v>1</v>
      </c>
      <c r="AD1635" s="1" t="s">
        <v>1918</v>
      </c>
      <c r="AE1635" s="1" t="s">
        <v>5</v>
      </c>
      <c r="AF1635" s="1" t="s">
        <v>6</v>
      </c>
      <c r="AG1635">
        <f t="shared" si="52"/>
        <v>0</v>
      </c>
    </row>
    <row r="1636" spans="27:33" hidden="1" x14ac:dyDescent="0.25">
      <c r="AA1636" t="s">
        <v>2155</v>
      </c>
      <c r="AB1636" s="1" t="s">
        <v>0</v>
      </c>
      <c r="AC1636" s="1" t="s">
        <v>5</v>
      </c>
      <c r="AD1636" s="1" t="s">
        <v>15</v>
      </c>
      <c r="AE1636" s="1" t="s">
        <v>10</v>
      </c>
      <c r="AF1636" s="1" t="s">
        <v>6</v>
      </c>
      <c r="AG1636">
        <f t="shared" si="52"/>
        <v>0</v>
      </c>
    </row>
    <row r="1637" spans="27:33" hidden="1" x14ac:dyDescent="0.25">
      <c r="AA1637" t="s">
        <v>1483</v>
      </c>
      <c r="AB1637" s="1" t="s">
        <v>3</v>
      </c>
      <c r="AC1637" s="1" t="s">
        <v>10</v>
      </c>
      <c r="AD1637" s="1" t="s">
        <v>13</v>
      </c>
      <c r="AE1637" s="1" t="s">
        <v>1</v>
      </c>
      <c r="AF1637" s="1" t="s">
        <v>3</v>
      </c>
      <c r="AG1637">
        <f t="shared" si="52"/>
        <v>0</v>
      </c>
    </row>
    <row r="1638" spans="27:33" hidden="1" x14ac:dyDescent="0.25">
      <c r="AA1638" t="s">
        <v>594</v>
      </c>
      <c r="AB1638" s="1" t="s">
        <v>11</v>
      </c>
      <c r="AC1638" s="1" t="s">
        <v>2</v>
      </c>
      <c r="AD1638" s="1" t="s">
        <v>6</v>
      </c>
      <c r="AE1638" s="1" t="s">
        <v>5</v>
      </c>
      <c r="AF1638" s="1" t="s">
        <v>1914</v>
      </c>
      <c r="AG1638">
        <f t="shared" si="52"/>
        <v>0</v>
      </c>
    </row>
    <row r="1639" spans="27:33" hidden="1" x14ac:dyDescent="0.25">
      <c r="AA1639" t="s">
        <v>746</v>
      </c>
      <c r="AB1639" s="1" t="s">
        <v>1921</v>
      </c>
      <c r="AC1639" s="1" t="s">
        <v>5</v>
      </c>
      <c r="AD1639" s="1" t="s">
        <v>3</v>
      </c>
      <c r="AE1639" s="1" t="s">
        <v>1915</v>
      </c>
      <c r="AF1639" s="1" t="s">
        <v>5</v>
      </c>
      <c r="AG1639">
        <f t="shared" si="52"/>
        <v>0</v>
      </c>
    </row>
    <row r="1640" spans="27:33" hidden="1" x14ac:dyDescent="0.25">
      <c r="AA1640" t="s">
        <v>1592</v>
      </c>
      <c r="AB1640" s="1" t="s">
        <v>2</v>
      </c>
      <c r="AC1640" s="1" t="s">
        <v>10</v>
      </c>
      <c r="AD1640" s="1" t="s">
        <v>1921</v>
      </c>
      <c r="AE1640" s="1" t="s">
        <v>13</v>
      </c>
      <c r="AF1640" s="1" t="s">
        <v>1</v>
      </c>
      <c r="AG1640">
        <f t="shared" si="52"/>
        <v>0</v>
      </c>
    </row>
    <row r="1641" spans="27:33" hidden="1" x14ac:dyDescent="0.25">
      <c r="AA1641" t="s">
        <v>527</v>
      </c>
      <c r="AB1641" s="1" t="s">
        <v>1915</v>
      </c>
      <c r="AC1641" s="1" t="s">
        <v>11</v>
      </c>
      <c r="AD1641" s="1" t="s">
        <v>8</v>
      </c>
      <c r="AE1641" s="1" t="s">
        <v>1915</v>
      </c>
      <c r="AF1641" s="1" t="s">
        <v>1</v>
      </c>
      <c r="AG1641">
        <f t="shared" si="52"/>
        <v>0</v>
      </c>
    </row>
    <row r="1642" spans="27:33" hidden="1" x14ac:dyDescent="0.25">
      <c r="AA1642" t="s">
        <v>1992</v>
      </c>
      <c r="AB1642" s="1" t="s">
        <v>4</v>
      </c>
      <c r="AC1642" s="1" t="s">
        <v>10</v>
      </c>
      <c r="AD1642" s="1" t="s">
        <v>4</v>
      </c>
      <c r="AE1642" s="1" t="s">
        <v>1</v>
      </c>
      <c r="AF1642" s="1" t="s">
        <v>6</v>
      </c>
      <c r="AG1642">
        <f t="shared" si="52"/>
        <v>0</v>
      </c>
    </row>
    <row r="1643" spans="27:33" hidden="1" x14ac:dyDescent="0.25">
      <c r="AA1643" t="s">
        <v>500</v>
      </c>
      <c r="AB1643" s="1" t="s">
        <v>0</v>
      </c>
      <c r="AC1643" s="1" t="s">
        <v>8</v>
      </c>
      <c r="AD1643" s="1" t="s">
        <v>3</v>
      </c>
      <c r="AE1643" s="1" t="s">
        <v>3</v>
      </c>
      <c r="AF1643" s="1" t="s">
        <v>1918</v>
      </c>
      <c r="AG1643">
        <f t="shared" si="52"/>
        <v>0</v>
      </c>
    </row>
    <row r="1644" spans="27:33" hidden="1" x14ac:dyDescent="0.25">
      <c r="AA1644" t="s">
        <v>754</v>
      </c>
      <c r="AB1644" s="1" t="s">
        <v>1921</v>
      </c>
      <c r="AC1644" s="1" t="s">
        <v>3</v>
      </c>
      <c r="AD1644" s="1" t="s">
        <v>1</v>
      </c>
      <c r="AE1644" s="1" t="s">
        <v>1915</v>
      </c>
      <c r="AF1644" s="1" t="s">
        <v>5</v>
      </c>
      <c r="AG1644">
        <f t="shared" si="52"/>
        <v>0</v>
      </c>
    </row>
    <row r="1645" spans="27:33" hidden="1" x14ac:dyDescent="0.25">
      <c r="AA1645" t="s">
        <v>2181</v>
      </c>
      <c r="AB1645" s="1" t="s">
        <v>4</v>
      </c>
      <c r="AC1645" s="1" t="s">
        <v>10</v>
      </c>
      <c r="AD1645" s="1" t="s">
        <v>12</v>
      </c>
      <c r="AE1645" s="1" t="s">
        <v>5</v>
      </c>
      <c r="AF1645" s="1" t="s">
        <v>6</v>
      </c>
      <c r="AG1645">
        <f t="shared" si="52"/>
        <v>0</v>
      </c>
    </row>
    <row r="1646" spans="27:33" hidden="1" x14ac:dyDescent="0.25">
      <c r="AA1646" t="s">
        <v>21</v>
      </c>
      <c r="AB1646" s="1" t="s">
        <v>1</v>
      </c>
      <c r="AC1646" s="1" t="s">
        <v>1914</v>
      </c>
      <c r="AD1646" s="1" t="s">
        <v>5</v>
      </c>
      <c r="AE1646" s="1" t="s">
        <v>6</v>
      </c>
      <c r="AF1646" s="1" t="s">
        <v>5</v>
      </c>
      <c r="AG1646">
        <f t="shared" si="52"/>
        <v>0</v>
      </c>
    </row>
    <row r="1647" spans="27:33" hidden="1" x14ac:dyDescent="0.25">
      <c r="AA1647" t="s">
        <v>2147</v>
      </c>
      <c r="AB1647" s="1" t="s">
        <v>3</v>
      </c>
      <c r="AC1647" s="1" t="s">
        <v>5</v>
      </c>
      <c r="AD1647" s="1" t="s">
        <v>10</v>
      </c>
      <c r="AE1647" s="1" t="s">
        <v>1915</v>
      </c>
      <c r="AF1647" s="1" t="s">
        <v>5</v>
      </c>
      <c r="AG1647">
        <f t="shared" si="52"/>
        <v>0</v>
      </c>
    </row>
    <row r="1648" spans="27:33" hidden="1" x14ac:dyDescent="0.25">
      <c r="AA1648" t="s">
        <v>662</v>
      </c>
      <c r="AB1648" s="1" t="s">
        <v>1920</v>
      </c>
      <c r="AC1648" s="1" t="s">
        <v>7</v>
      </c>
      <c r="AD1648" s="1" t="s">
        <v>11</v>
      </c>
      <c r="AE1648" s="1" t="s">
        <v>13</v>
      </c>
      <c r="AF1648" s="1" t="s">
        <v>1</v>
      </c>
      <c r="AG1648">
        <f t="shared" si="52"/>
        <v>0</v>
      </c>
    </row>
    <row r="1649" spans="27:33" hidden="1" x14ac:dyDescent="0.25">
      <c r="AA1649" t="s">
        <v>2272</v>
      </c>
      <c r="AB1649" s="1" t="s">
        <v>7</v>
      </c>
      <c r="AC1649" s="1" t="s">
        <v>1</v>
      </c>
      <c r="AD1649" s="1" t="s">
        <v>0</v>
      </c>
      <c r="AE1649" s="1" t="s">
        <v>5</v>
      </c>
      <c r="AF1649" s="1" t="s">
        <v>6</v>
      </c>
      <c r="AG1649">
        <f t="shared" si="52"/>
        <v>0</v>
      </c>
    </row>
    <row r="1650" spans="27:33" hidden="1" x14ac:dyDescent="0.25">
      <c r="AA1650" t="s">
        <v>639</v>
      </c>
      <c r="AB1650" s="1" t="s">
        <v>1920</v>
      </c>
      <c r="AC1650" s="1" t="s">
        <v>10</v>
      </c>
      <c r="AD1650" s="1" t="s">
        <v>1914</v>
      </c>
      <c r="AE1650" s="1" t="s">
        <v>3</v>
      </c>
      <c r="AF1650" s="1" t="s">
        <v>1</v>
      </c>
      <c r="AG1650">
        <f t="shared" si="52"/>
        <v>0</v>
      </c>
    </row>
    <row r="1651" spans="27:33" hidden="1" x14ac:dyDescent="0.25">
      <c r="AA1651" t="s">
        <v>256</v>
      </c>
      <c r="AB1651" s="1" t="s">
        <v>1914</v>
      </c>
      <c r="AC1651" s="1" t="s">
        <v>3</v>
      </c>
      <c r="AD1651" s="1" t="s">
        <v>5</v>
      </c>
      <c r="AE1651" s="1" t="s">
        <v>13</v>
      </c>
      <c r="AF1651" s="1" t="s">
        <v>5</v>
      </c>
      <c r="AG1651">
        <f t="shared" si="52"/>
        <v>0</v>
      </c>
    </row>
    <row r="1652" spans="27:33" hidden="1" x14ac:dyDescent="0.25">
      <c r="AA1652" t="s">
        <v>591</v>
      </c>
      <c r="AB1652" s="1" t="s">
        <v>11</v>
      </c>
      <c r="AC1652" s="1" t="s">
        <v>3</v>
      </c>
      <c r="AD1652" s="1" t="s">
        <v>10</v>
      </c>
      <c r="AE1652" s="1" t="s">
        <v>12</v>
      </c>
      <c r="AF1652" s="1" t="s">
        <v>5</v>
      </c>
      <c r="AG1652">
        <f t="shared" si="52"/>
        <v>0</v>
      </c>
    </row>
    <row r="1653" spans="27:33" hidden="1" x14ac:dyDescent="0.25">
      <c r="AA1653" t="s">
        <v>2108</v>
      </c>
      <c r="AB1653" s="1" t="s">
        <v>1919</v>
      </c>
      <c r="AC1653" s="1" t="s">
        <v>10</v>
      </c>
      <c r="AD1653" s="1" t="s">
        <v>1921</v>
      </c>
      <c r="AE1653" s="1" t="s">
        <v>10</v>
      </c>
      <c r="AF1653" s="1" t="s">
        <v>1</v>
      </c>
      <c r="AG1653">
        <f t="shared" si="52"/>
        <v>0</v>
      </c>
    </row>
    <row r="1654" spans="27:33" hidden="1" x14ac:dyDescent="0.25">
      <c r="AA1654" t="s">
        <v>2206</v>
      </c>
      <c r="AB1654" s="1" t="s">
        <v>4</v>
      </c>
      <c r="AC1654" s="1" t="s">
        <v>5</v>
      </c>
      <c r="AD1654" s="1" t="s">
        <v>4</v>
      </c>
      <c r="AE1654" s="1" t="s">
        <v>11</v>
      </c>
      <c r="AF1654" s="1" t="s">
        <v>13</v>
      </c>
      <c r="AG1654">
        <f t="shared" si="52"/>
        <v>0</v>
      </c>
    </row>
    <row r="1655" spans="27:33" hidden="1" x14ac:dyDescent="0.25">
      <c r="AA1655" t="s">
        <v>1703</v>
      </c>
      <c r="AB1655" s="1" t="s">
        <v>4</v>
      </c>
      <c r="AC1655" s="1" t="s">
        <v>11</v>
      </c>
      <c r="AD1655" s="1" t="s">
        <v>2</v>
      </c>
      <c r="AE1655" s="1" t="s">
        <v>7</v>
      </c>
      <c r="AF1655" s="1" t="s">
        <v>1</v>
      </c>
      <c r="AG1655">
        <f t="shared" si="52"/>
        <v>0</v>
      </c>
    </row>
    <row r="1656" spans="27:33" hidden="1" x14ac:dyDescent="0.25">
      <c r="AA1656" t="s">
        <v>289</v>
      </c>
      <c r="AB1656" s="1" t="s">
        <v>0</v>
      </c>
      <c r="AC1656" s="1" t="s">
        <v>1</v>
      </c>
      <c r="AD1656" s="1" t="s">
        <v>0</v>
      </c>
      <c r="AE1656" s="1" t="s">
        <v>1</v>
      </c>
      <c r="AF1656" s="1" t="s">
        <v>5</v>
      </c>
      <c r="AG1656">
        <f t="shared" si="52"/>
        <v>0</v>
      </c>
    </row>
    <row r="1657" spans="27:33" hidden="1" x14ac:dyDescent="0.25">
      <c r="AA1657" t="s">
        <v>1603</v>
      </c>
      <c r="AB1657" s="1" t="s">
        <v>2</v>
      </c>
      <c r="AC1657" s="1" t="s">
        <v>10</v>
      </c>
      <c r="AD1657" s="1" t="s">
        <v>4</v>
      </c>
      <c r="AE1657" s="1" t="s">
        <v>1</v>
      </c>
      <c r="AF1657" s="1" t="s">
        <v>3</v>
      </c>
      <c r="AG1657">
        <f t="shared" si="52"/>
        <v>0</v>
      </c>
    </row>
    <row r="1658" spans="27:33" hidden="1" x14ac:dyDescent="0.25">
      <c r="AA1658" t="s">
        <v>1319</v>
      </c>
      <c r="AB1658" s="1" t="s">
        <v>9</v>
      </c>
      <c r="AC1658" s="1" t="s">
        <v>11</v>
      </c>
      <c r="AD1658" s="1" t="s">
        <v>2</v>
      </c>
      <c r="AE1658" s="1" t="s">
        <v>4</v>
      </c>
      <c r="AF1658" s="1" t="s">
        <v>5</v>
      </c>
      <c r="AG1658">
        <f t="shared" si="52"/>
        <v>0</v>
      </c>
    </row>
    <row r="1659" spans="27:33" hidden="1" x14ac:dyDescent="0.25">
      <c r="AA1659" t="s">
        <v>1231</v>
      </c>
      <c r="AB1659" s="1" t="s">
        <v>5</v>
      </c>
      <c r="AC1659" s="1" t="s">
        <v>3</v>
      </c>
      <c r="AD1659" s="1" t="s">
        <v>8</v>
      </c>
      <c r="AE1659" s="1" t="s">
        <v>1921</v>
      </c>
      <c r="AF1659" s="1" t="s">
        <v>1</v>
      </c>
      <c r="AG1659">
        <f t="shared" si="52"/>
        <v>0</v>
      </c>
    </row>
    <row r="1660" spans="27:33" hidden="1" x14ac:dyDescent="0.25">
      <c r="AA1660" t="s">
        <v>381</v>
      </c>
      <c r="AB1660" s="1" t="s">
        <v>0</v>
      </c>
      <c r="AC1660" s="1" t="s">
        <v>1917</v>
      </c>
      <c r="AD1660" s="1" t="s">
        <v>10</v>
      </c>
      <c r="AE1660" s="1" t="s">
        <v>0</v>
      </c>
      <c r="AF1660" s="1" t="s">
        <v>1</v>
      </c>
      <c r="AG1660">
        <f t="shared" si="52"/>
        <v>0</v>
      </c>
    </row>
    <row r="1661" spans="27:33" hidden="1" x14ac:dyDescent="0.25">
      <c r="AA1661" t="s">
        <v>1741</v>
      </c>
      <c r="AB1661" s="1" t="s">
        <v>4</v>
      </c>
      <c r="AC1661" s="1" t="s">
        <v>5</v>
      </c>
      <c r="AD1661" s="1" t="s">
        <v>3</v>
      </c>
      <c r="AE1661" s="1" t="s">
        <v>3</v>
      </c>
      <c r="AF1661" s="1" t="s">
        <v>11</v>
      </c>
      <c r="AG1661">
        <f t="shared" si="52"/>
        <v>0</v>
      </c>
    </row>
    <row r="1662" spans="27:33" hidden="1" x14ac:dyDescent="0.25">
      <c r="AA1662" t="s">
        <v>1289</v>
      </c>
      <c r="AB1662" s="1" t="s">
        <v>9</v>
      </c>
      <c r="AC1662" s="1" t="s">
        <v>1</v>
      </c>
      <c r="AD1662" s="1" t="s">
        <v>8</v>
      </c>
      <c r="AE1662" s="1" t="s">
        <v>4</v>
      </c>
      <c r="AF1662" s="1" t="s">
        <v>1</v>
      </c>
      <c r="AG1662">
        <f t="shared" si="52"/>
        <v>0</v>
      </c>
    </row>
    <row r="1663" spans="27:33" hidden="1" x14ac:dyDescent="0.25">
      <c r="AA1663" t="s">
        <v>526</v>
      </c>
      <c r="AB1663" s="1" t="s">
        <v>1915</v>
      </c>
      <c r="AC1663" s="1" t="s">
        <v>11</v>
      </c>
      <c r="AD1663" s="1" t="s">
        <v>2</v>
      </c>
      <c r="AE1663" s="1" t="s">
        <v>11</v>
      </c>
      <c r="AF1663" s="1" t="s">
        <v>5</v>
      </c>
      <c r="AG1663">
        <f t="shared" si="52"/>
        <v>0</v>
      </c>
    </row>
    <row r="1664" spans="27:33" hidden="1" x14ac:dyDescent="0.25">
      <c r="AA1664" t="s">
        <v>569</v>
      </c>
      <c r="AB1664" s="1" t="s">
        <v>1915</v>
      </c>
      <c r="AC1664" s="1" t="s">
        <v>8</v>
      </c>
      <c r="AD1664" s="1" t="s">
        <v>9</v>
      </c>
      <c r="AE1664" s="1" t="s">
        <v>7</v>
      </c>
      <c r="AF1664" s="1" t="s">
        <v>1</v>
      </c>
      <c r="AG1664">
        <f t="shared" si="52"/>
        <v>0</v>
      </c>
    </row>
    <row r="1665" spans="27:33" hidden="1" x14ac:dyDescent="0.25">
      <c r="AA1665" t="s">
        <v>44</v>
      </c>
      <c r="AB1665" s="1" t="s">
        <v>1</v>
      </c>
      <c r="AC1665" s="1" t="s">
        <v>1921</v>
      </c>
      <c r="AD1665" s="1" t="s">
        <v>8</v>
      </c>
      <c r="AE1665" s="1" t="s">
        <v>15</v>
      </c>
      <c r="AF1665" s="1" t="s">
        <v>1</v>
      </c>
      <c r="AG1665">
        <f t="shared" si="52"/>
        <v>0</v>
      </c>
    </row>
    <row r="1666" spans="27:33" hidden="1" x14ac:dyDescent="0.25">
      <c r="AA1666" t="s">
        <v>778</v>
      </c>
      <c r="AB1666" s="1" t="s">
        <v>1921</v>
      </c>
      <c r="AC1666" s="1" t="s">
        <v>3</v>
      </c>
      <c r="AD1666" s="1" t="s">
        <v>8</v>
      </c>
      <c r="AE1666" s="1" t="s">
        <v>9</v>
      </c>
      <c r="AF1666" s="1" t="s">
        <v>5</v>
      </c>
      <c r="AG1666">
        <f t="shared" si="52"/>
        <v>0</v>
      </c>
    </row>
    <row r="1667" spans="27:33" hidden="1" x14ac:dyDescent="0.25">
      <c r="AA1667" t="s">
        <v>1305</v>
      </c>
      <c r="AB1667" s="1" t="s">
        <v>9</v>
      </c>
      <c r="AC1667" s="1" t="s">
        <v>11</v>
      </c>
      <c r="AD1667" s="1" t="s">
        <v>6</v>
      </c>
      <c r="AE1667" s="1" t="s">
        <v>1</v>
      </c>
      <c r="AF1667" s="1" t="s">
        <v>3</v>
      </c>
      <c r="AG1667">
        <f t="shared" ref="AG1667:AG1730" si="53">IF(AND(Z1667&gt;0,Z1667&lt;7),AG1666+1,0)</f>
        <v>0</v>
      </c>
    </row>
    <row r="1668" spans="27:33" hidden="1" x14ac:dyDescent="0.25">
      <c r="AA1668" t="s">
        <v>1321</v>
      </c>
      <c r="AB1668" s="1" t="s">
        <v>9</v>
      </c>
      <c r="AC1668" s="1" t="s">
        <v>10</v>
      </c>
      <c r="AD1668" s="1" t="s">
        <v>1</v>
      </c>
      <c r="AE1668" s="1" t="s">
        <v>6</v>
      </c>
      <c r="AF1668" s="1" t="s">
        <v>5</v>
      </c>
      <c r="AG1668">
        <f t="shared" si="53"/>
        <v>0</v>
      </c>
    </row>
    <row r="1669" spans="27:33" hidden="1" x14ac:dyDescent="0.25">
      <c r="AA1669" t="s">
        <v>229</v>
      </c>
      <c r="AB1669" s="1" t="s">
        <v>1914</v>
      </c>
      <c r="AC1669" s="1" t="s">
        <v>5</v>
      </c>
      <c r="AD1669" s="1" t="s">
        <v>13</v>
      </c>
      <c r="AE1669" s="1" t="s">
        <v>1914</v>
      </c>
      <c r="AF1669" s="1" t="s">
        <v>1</v>
      </c>
      <c r="AG1669">
        <f t="shared" si="53"/>
        <v>0</v>
      </c>
    </row>
    <row r="1670" spans="27:33" hidden="1" x14ac:dyDescent="0.25">
      <c r="AA1670" t="s">
        <v>2073</v>
      </c>
      <c r="AB1670" s="1" t="s">
        <v>3</v>
      </c>
      <c r="AC1670" s="1" t="s">
        <v>11</v>
      </c>
      <c r="AD1670" s="1" t="s">
        <v>1917</v>
      </c>
      <c r="AE1670" s="1" t="s">
        <v>11</v>
      </c>
      <c r="AF1670" s="1" t="s">
        <v>6</v>
      </c>
      <c r="AG1670">
        <f t="shared" si="53"/>
        <v>0</v>
      </c>
    </row>
    <row r="1671" spans="27:33" hidden="1" x14ac:dyDescent="0.25">
      <c r="AA1671" t="s">
        <v>1798</v>
      </c>
      <c r="AB1671" s="1" t="s">
        <v>8</v>
      </c>
      <c r="AC1671" s="1" t="s">
        <v>3</v>
      </c>
      <c r="AD1671" s="1" t="s">
        <v>1915</v>
      </c>
      <c r="AE1671" s="1" t="s">
        <v>10</v>
      </c>
      <c r="AF1671" s="1" t="s">
        <v>3</v>
      </c>
      <c r="AG1671">
        <f t="shared" si="53"/>
        <v>0</v>
      </c>
    </row>
    <row r="1672" spans="27:33" hidden="1" x14ac:dyDescent="0.25">
      <c r="AA1672" t="s">
        <v>961</v>
      </c>
      <c r="AB1672" s="1" t="s">
        <v>7</v>
      </c>
      <c r="AC1672" s="1" t="s">
        <v>10</v>
      </c>
      <c r="AD1672" s="1" t="s">
        <v>15</v>
      </c>
      <c r="AE1672" s="1" t="s">
        <v>1</v>
      </c>
      <c r="AF1672" s="1" t="s">
        <v>3</v>
      </c>
      <c r="AG1672">
        <f t="shared" si="53"/>
        <v>0</v>
      </c>
    </row>
    <row r="1673" spans="27:33" hidden="1" x14ac:dyDescent="0.25">
      <c r="AA1673" t="s">
        <v>1073</v>
      </c>
      <c r="AB1673" s="1" t="s">
        <v>13</v>
      </c>
      <c r="AC1673" s="1" t="s">
        <v>10</v>
      </c>
      <c r="AD1673" s="1" t="s">
        <v>11</v>
      </c>
      <c r="AE1673" s="1" t="s">
        <v>1915</v>
      </c>
      <c r="AF1673" s="1" t="s">
        <v>5</v>
      </c>
      <c r="AG1673">
        <f t="shared" si="53"/>
        <v>0</v>
      </c>
    </row>
    <row r="1674" spans="27:33" hidden="1" x14ac:dyDescent="0.25">
      <c r="AA1674" t="s">
        <v>951</v>
      </c>
      <c r="AB1674" s="1" t="s">
        <v>7</v>
      </c>
      <c r="AC1674" s="1" t="s">
        <v>10</v>
      </c>
      <c r="AD1674" s="1" t="s">
        <v>1914</v>
      </c>
      <c r="AE1674" s="1" t="s">
        <v>3</v>
      </c>
      <c r="AF1674" s="1" t="s">
        <v>1</v>
      </c>
      <c r="AG1674">
        <f t="shared" si="53"/>
        <v>0</v>
      </c>
    </row>
    <row r="1675" spans="27:33" hidden="1" x14ac:dyDescent="0.25">
      <c r="AA1675" t="s">
        <v>1555</v>
      </c>
      <c r="AB1675" s="1" t="s">
        <v>2</v>
      </c>
      <c r="AC1675" s="1" t="s">
        <v>1</v>
      </c>
      <c r="AD1675" s="1" t="s">
        <v>3</v>
      </c>
      <c r="AE1675" s="1" t="s">
        <v>4</v>
      </c>
      <c r="AF1675" s="1" t="s">
        <v>1</v>
      </c>
      <c r="AG1675">
        <f t="shared" si="53"/>
        <v>0</v>
      </c>
    </row>
    <row r="1676" spans="27:33" hidden="1" x14ac:dyDescent="0.25">
      <c r="AA1676" t="s">
        <v>2094</v>
      </c>
      <c r="AB1676" s="1" t="s">
        <v>15</v>
      </c>
      <c r="AC1676" s="1" t="s">
        <v>8</v>
      </c>
      <c r="AD1676" s="1" t="s">
        <v>1915</v>
      </c>
      <c r="AE1676" s="1" t="s">
        <v>10</v>
      </c>
      <c r="AF1676" s="1" t="s">
        <v>1</v>
      </c>
      <c r="AG1676">
        <f t="shared" si="53"/>
        <v>0</v>
      </c>
    </row>
    <row r="1677" spans="27:33" hidden="1" x14ac:dyDescent="0.25">
      <c r="AA1677" t="s">
        <v>2091</v>
      </c>
      <c r="AB1677" s="1" t="s">
        <v>1</v>
      </c>
      <c r="AC1677" s="1" t="s">
        <v>3</v>
      </c>
      <c r="AD1677" s="1" t="s">
        <v>6</v>
      </c>
      <c r="AE1677" s="1" t="s">
        <v>11</v>
      </c>
      <c r="AF1677" s="1" t="s">
        <v>2</v>
      </c>
      <c r="AG1677">
        <f t="shared" si="53"/>
        <v>0</v>
      </c>
    </row>
    <row r="1678" spans="27:33" hidden="1" x14ac:dyDescent="0.25">
      <c r="AA1678" t="s">
        <v>1693</v>
      </c>
      <c r="AB1678" s="1" t="s">
        <v>4</v>
      </c>
      <c r="AC1678" s="1" t="s">
        <v>11</v>
      </c>
      <c r="AD1678" s="1" t="s">
        <v>6</v>
      </c>
      <c r="AE1678" s="1" t="s">
        <v>2</v>
      </c>
      <c r="AF1678" s="1" t="s">
        <v>5</v>
      </c>
      <c r="AG1678">
        <f t="shared" si="53"/>
        <v>0</v>
      </c>
    </row>
    <row r="1679" spans="27:33" hidden="1" x14ac:dyDescent="0.25">
      <c r="AA1679" t="s">
        <v>119</v>
      </c>
      <c r="AB1679" s="1" t="s">
        <v>1</v>
      </c>
      <c r="AC1679" s="1" t="s">
        <v>3</v>
      </c>
      <c r="AD1679" s="1" t="s">
        <v>10</v>
      </c>
      <c r="AE1679" s="1" t="s">
        <v>11</v>
      </c>
      <c r="AF1679" s="1" t="s">
        <v>2</v>
      </c>
      <c r="AG1679">
        <f t="shared" si="53"/>
        <v>0</v>
      </c>
    </row>
    <row r="1680" spans="27:33" hidden="1" x14ac:dyDescent="0.25">
      <c r="AA1680" t="s">
        <v>2088</v>
      </c>
      <c r="AB1680" s="1" t="s">
        <v>11</v>
      </c>
      <c r="AC1680" s="1" t="s">
        <v>4</v>
      </c>
      <c r="AD1680" s="1" t="s">
        <v>10</v>
      </c>
      <c r="AE1680" s="1" t="s">
        <v>0</v>
      </c>
      <c r="AF1680" s="1" t="s">
        <v>1</v>
      </c>
      <c r="AG1680">
        <f t="shared" si="53"/>
        <v>0</v>
      </c>
    </row>
    <row r="1681" spans="27:33" hidden="1" x14ac:dyDescent="0.25">
      <c r="AA1681" t="s">
        <v>912</v>
      </c>
      <c r="AB1681" s="1" t="s">
        <v>7</v>
      </c>
      <c r="AC1681" s="1" t="s">
        <v>1</v>
      </c>
      <c r="AD1681" s="1" t="s">
        <v>1914</v>
      </c>
      <c r="AE1681" s="1" t="s">
        <v>10</v>
      </c>
      <c r="AF1681" s="1" t="s">
        <v>1</v>
      </c>
      <c r="AG1681">
        <f t="shared" si="53"/>
        <v>0</v>
      </c>
    </row>
    <row r="1682" spans="27:33" hidden="1" x14ac:dyDescent="0.25">
      <c r="AA1682" t="s">
        <v>1440</v>
      </c>
      <c r="AB1682" s="1" t="s">
        <v>3</v>
      </c>
      <c r="AC1682" s="1" t="s">
        <v>1</v>
      </c>
      <c r="AD1682" s="1" t="s">
        <v>9</v>
      </c>
      <c r="AE1682" s="1" t="s">
        <v>4</v>
      </c>
      <c r="AF1682" s="1" t="s">
        <v>5</v>
      </c>
      <c r="AG1682">
        <f t="shared" si="53"/>
        <v>0</v>
      </c>
    </row>
    <row r="1683" spans="27:33" hidden="1" x14ac:dyDescent="0.25">
      <c r="AA1683" t="s">
        <v>1307</v>
      </c>
      <c r="AB1683" s="1" t="s">
        <v>9</v>
      </c>
      <c r="AC1683" s="1" t="s">
        <v>11</v>
      </c>
      <c r="AD1683" s="1" t="s">
        <v>9</v>
      </c>
      <c r="AE1683" s="1" t="s">
        <v>7</v>
      </c>
      <c r="AF1683" s="1" t="s">
        <v>1</v>
      </c>
      <c r="AG1683">
        <f t="shared" si="53"/>
        <v>0</v>
      </c>
    </row>
    <row r="1684" spans="27:33" hidden="1" x14ac:dyDescent="0.25">
      <c r="AA1684" t="s">
        <v>1509</v>
      </c>
      <c r="AB1684" s="1" t="s">
        <v>3</v>
      </c>
      <c r="AC1684" s="1" t="s">
        <v>8</v>
      </c>
      <c r="AD1684" s="1" t="s">
        <v>1914</v>
      </c>
      <c r="AE1684" s="1" t="s">
        <v>10</v>
      </c>
      <c r="AF1684" s="1" t="s">
        <v>1</v>
      </c>
      <c r="AG1684">
        <f t="shared" si="53"/>
        <v>0</v>
      </c>
    </row>
    <row r="1685" spans="27:33" hidden="1" x14ac:dyDescent="0.25">
      <c r="AA1685" t="s">
        <v>1424</v>
      </c>
      <c r="AB1685" s="1" t="s">
        <v>1923</v>
      </c>
      <c r="AC1685" s="1" t="s">
        <v>8</v>
      </c>
      <c r="AD1685" s="1" t="s">
        <v>10</v>
      </c>
      <c r="AE1685" s="1" t="s">
        <v>4</v>
      </c>
      <c r="AF1685" s="1" t="s">
        <v>11</v>
      </c>
      <c r="AG1685">
        <f t="shared" si="53"/>
        <v>0</v>
      </c>
    </row>
    <row r="1686" spans="27:33" hidden="1" x14ac:dyDescent="0.25">
      <c r="AA1686" t="s">
        <v>2309</v>
      </c>
      <c r="AB1686" s="1" t="s">
        <v>7</v>
      </c>
      <c r="AC1686" s="1" t="s">
        <v>8</v>
      </c>
      <c r="AD1686" s="1" t="s">
        <v>4</v>
      </c>
      <c r="AE1686" s="1" t="s">
        <v>11</v>
      </c>
      <c r="AF1686" s="1" t="s">
        <v>5</v>
      </c>
      <c r="AG1686">
        <f t="shared" si="53"/>
        <v>0</v>
      </c>
    </row>
    <row r="1687" spans="27:33" hidden="1" x14ac:dyDescent="0.25">
      <c r="AA1687" t="s">
        <v>1115</v>
      </c>
      <c r="AB1687" s="1" t="s">
        <v>13</v>
      </c>
      <c r="AC1687" s="1" t="s">
        <v>5</v>
      </c>
      <c r="AD1687" s="1" t="s">
        <v>2</v>
      </c>
      <c r="AE1687" s="1" t="s">
        <v>4</v>
      </c>
      <c r="AF1687" s="1" t="s">
        <v>5</v>
      </c>
      <c r="AG1687">
        <f t="shared" si="53"/>
        <v>0</v>
      </c>
    </row>
    <row r="1688" spans="27:33" hidden="1" x14ac:dyDescent="0.25">
      <c r="AA1688" t="s">
        <v>1911</v>
      </c>
      <c r="AB1688" s="1" t="s">
        <v>12</v>
      </c>
      <c r="AC1688" s="1" t="s">
        <v>8</v>
      </c>
      <c r="AD1688" s="1" t="s">
        <v>3</v>
      </c>
      <c r="AE1688" s="1" t="s">
        <v>1915</v>
      </c>
      <c r="AF1688" s="1" t="s">
        <v>1</v>
      </c>
      <c r="AG1688">
        <f t="shared" si="53"/>
        <v>0</v>
      </c>
    </row>
    <row r="1689" spans="27:33" hidden="1" x14ac:dyDescent="0.25">
      <c r="AA1689" t="s">
        <v>1736</v>
      </c>
      <c r="AB1689" s="1" t="s">
        <v>4</v>
      </c>
      <c r="AC1689" s="1" t="s">
        <v>5</v>
      </c>
      <c r="AD1689" s="1" t="s">
        <v>3</v>
      </c>
      <c r="AE1689" s="1" t="s">
        <v>11</v>
      </c>
      <c r="AF1689" s="1" t="s">
        <v>5</v>
      </c>
      <c r="AG1689">
        <f t="shared" si="53"/>
        <v>0</v>
      </c>
    </row>
    <row r="1690" spans="27:33" hidden="1" x14ac:dyDescent="0.25">
      <c r="AA1690" t="s">
        <v>420</v>
      </c>
      <c r="AB1690" s="1" t="s">
        <v>0</v>
      </c>
      <c r="AC1690" s="1" t="s">
        <v>7</v>
      </c>
      <c r="AD1690" s="1" t="s">
        <v>1</v>
      </c>
      <c r="AE1690" s="1" t="s">
        <v>3</v>
      </c>
      <c r="AF1690" s="1" t="s">
        <v>5</v>
      </c>
      <c r="AG1690">
        <f t="shared" si="53"/>
        <v>0</v>
      </c>
    </row>
    <row r="1691" spans="27:33" hidden="1" x14ac:dyDescent="0.25">
      <c r="AA1691" t="s">
        <v>891</v>
      </c>
      <c r="AB1691" s="1" t="s">
        <v>15</v>
      </c>
      <c r="AC1691" s="1" t="s">
        <v>10</v>
      </c>
      <c r="AD1691" s="1" t="s">
        <v>1914</v>
      </c>
      <c r="AE1691" s="1" t="s">
        <v>10</v>
      </c>
      <c r="AF1691" s="1" t="s">
        <v>1</v>
      </c>
      <c r="AG1691">
        <f t="shared" si="53"/>
        <v>0</v>
      </c>
    </row>
    <row r="1692" spans="27:33" hidden="1" x14ac:dyDescent="0.25">
      <c r="AA1692" t="s">
        <v>967</v>
      </c>
      <c r="AB1692" s="1" t="s">
        <v>7</v>
      </c>
      <c r="AC1692" s="1" t="s">
        <v>10</v>
      </c>
      <c r="AD1692" s="1" t="s">
        <v>6</v>
      </c>
      <c r="AE1692" s="1" t="s">
        <v>1915</v>
      </c>
      <c r="AF1692" s="1" t="s">
        <v>5</v>
      </c>
      <c r="AG1692">
        <f t="shared" si="53"/>
        <v>0</v>
      </c>
    </row>
    <row r="1693" spans="27:33" hidden="1" x14ac:dyDescent="0.25">
      <c r="AA1693" t="s">
        <v>847</v>
      </c>
      <c r="AB1693" s="1" t="s">
        <v>1917</v>
      </c>
      <c r="AC1693" s="1" t="s">
        <v>8</v>
      </c>
      <c r="AD1693" s="1" t="s">
        <v>11</v>
      </c>
      <c r="AE1693" s="1" t="s">
        <v>1919</v>
      </c>
      <c r="AF1693" s="1" t="s">
        <v>1</v>
      </c>
      <c r="AG1693">
        <f t="shared" si="53"/>
        <v>0</v>
      </c>
    </row>
    <row r="1694" spans="27:33" hidden="1" x14ac:dyDescent="0.25">
      <c r="AA1694" t="s">
        <v>1745</v>
      </c>
      <c r="AB1694" s="1" t="s">
        <v>4</v>
      </c>
      <c r="AC1694" s="1" t="s">
        <v>5</v>
      </c>
      <c r="AD1694" s="1" t="s">
        <v>2</v>
      </c>
      <c r="AE1694" s="1" t="s">
        <v>0</v>
      </c>
      <c r="AF1694" s="1" t="s">
        <v>5</v>
      </c>
      <c r="AG1694">
        <f t="shared" si="53"/>
        <v>0</v>
      </c>
    </row>
    <row r="1695" spans="27:33" hidden="1" x14ac:dyDescent="0.25">
      <c r="AA1695" t="s">
        <v>1803</v>
      </c>
      <c r="AB1695" s="1" t="s">
        <v>8</v>
      </c>
      <c r="AC1695" s="1" t="s">
        <v>2</v>
      </c>
      <c r="AD1695" s="1" t="s">
        <v>8</v>
      </c>
      <c r="AE1695" s="1" t="s">
        <v>1</v>
      </c>
      <c r="AF1695" s="1" t="s">
        <v>7</v>
      </c>
      <c r="AG1695">
        <f t="shared" si="53"/>
        <v>0</v>
      </c>
    </row>
    <row r="1696" spans="27:33" hidden="1" x14ac:dyDescent="0.25">
      <c r="AA1696" t="s">
        <v>1396</v>
      </c>
      <c r="AB1696" s="1" t="s">
        <v>9</v>
      </c>
      <c r="AC1696" s="1" t="s">
        <v>3</v>
      </c>
      <c r="AD1696" s="1" t="s">
        <v>10</v>
      </c>
      <c r="AE1696" s="1" t="s">
        <v>1919</v>
      </c>
      <c r="AF1696" s="1" t="s">
        <v>1</v>
      </c>
      <c r="AG1696">
        <f t="shared" si="53"/>
        <v>0</v>
      </c>
    </row>
    <row r="1697" spans="27:33" hidden="1" x14ac:dyDescent="0.25">
      <c r="AA1697" t="s">
        <v>1353</v>
      </c>
      <c r="AB1697" s="1" t="s">
        <v>9</v>
      </c>
      <c r="AC1697" s="1" t="s">
        <v>7</v>
      </c>
      <c r="AD1697" s="1" t="s">
        <v>11</v>
      </c>
      <c r="AE1697" s="1" t="s">
        <v>1914</v>
      </c>
      <c r="AF1697" s="1" t="s">
        <v>11</v>
      </c>
      <c r="AG1697">
        <f t="shared" si="53"/>
        <v>0</v>
      </c>
    </row>
    <row r="1698" spans="27:33" hidden="1" x14ac:dyDescent="0.25">
      <c r="AA1698" t="s">
        <v>1547</v>
      </c>
      <c r="AB1698" s="1" t="s">
        <v>2</v>
      </c>
      <c r="AC1698" s="1" t="s">
        <v>1</v>
      </c>
      <c r="AD1698" s="1" t="s">
        <v>6</v>
      </c>
      <c r="AE1698" s="1" t="s">
        <v>1</v>
      </c>
      <c r="AF1698" s="1" t="s">
        <v>3</v>
      </c>
      <c r="AG1698">
        <f t="shared" si="53"/>
        <v>0</v>
      </c>
    </row>
    <row r="1699" spans="27:33" hidden="1" x14ac:dyDescent="0.25">
      <c r="AA1699" t="s">
        <v>763</v>
      </c>
      <c r="AB1699" s="1" t="s">
        <v>1921</v>
      </c>
      <c r="AC1699" s="1" t="s">
        <v>3</v>
      </c>
      <c r="AD1699" s="1" t="s">
        <v>1</v>
      </c>
      <c r="AE1699" s="1" t="s">
        <v>4</v>
      </c>
      <c r="AF1699" s="1" t="s">
        <v>5</v>
      </c>
      <c r="AG1699">
        <f t="shared" si="53"/>
        <v>0</v>
      </c>
    </row>
    <row r="1700" spans="27:33" hidden="1" x14ac:dyDescent="0.25">
      <c r="AA1700" t="s">
        <v>284</v>
      </c>
      <c r="AB1700" s="1" t="s">
        <v>1914</v>
      </c>
      <c r="AC1700" s="1" t="s">
        <v>8</v>
      </c>
      <c r="AD1700" s="1" t="s">
        <v>12</v>
      </c>
      <c r="AE1700" s="1" t="s">
        <v>5</v>
      </c>
      <c r="AF1700" s="1" t="s">
        <v>2</v>
      </c>
      <c r="AG1700">
        <f t="shared" si="53"/>
        <v>0</v>
      </c>
    </row>
    <row r="1701" spans="27:33" hidden="1" x14ac:dyDescent="0.25">
      <c r="AA1701" t="s">
        <v>493</v>
      </c>
      <c r="AB1701" s="1" t="s">
        <v>0</v>
      </c>
      <c r="AC1701" s="1" t="s">
        <v>8</v>
      </c>
      <c r="AD1701" s="1" t="s">
        <v>5</v>
      </c>
      <c r="AE1701" s="1" t="s">
        <v>4</v>
      </c>
      <c r="AF1701" s="1" t="s">
        <v>1</v>
      </c>
      <c r="AG1701">
        <f t="shared" si="53"/>
        <v>0</v>
      </c>
    </row>
    <row r="1702" spans="27:33" hidden="1" x14ac:dyDescent="0.25">
      <c r="AA1702" t="s">
        <v>49</v>
      </c>
      <c r="AB1702" s="1" t="s">
        <v>1</v>
      </c>
      <c r="AC1702" s="1" t="s">
        <v>15</v>
      </c>
      <c r="AD1702" s="1" t="s">
        <v>11</v>
      </c>
      <c r="AE1702" s="1" t="s">
        <v>6</v>
      </c>
      <c r="AF1702" s="1" t="s">
        <v>1</v>
      </c>
      <c r="AG1702">
        <f t="shared" si="53"/>
        <v>0</v>
      </c>
    </row>
    <row r="1703" spans="27:33" hidden="1" x14ac:dyDescent="0.25">
      <c r="AA1703" t="s">
        <v>555</v>
      </c>
      <c r="AB1703" s="1" t="s">
        <v>1915</v>
      </c>
      <c r="AC1703" s="1" t="s">
        <v>3</v>
      </c>
      <c r="AD1703" s="1" t="s">
        <v>1</v>
      </c>
      <c r="AE1703" s="1" t="s">
        <v>1921</v>
      </c>
      <c r="AF1703" s="1" t="s">
        <v>1</v>
      </c>
      <c r="AG1703">
        <f t="shared" si="53"/>
        <v>0</v>
      </c>
    </row>
    <row r="1704" spans="27:33" hidden="1" x14ac:dyDescent="0.25">
      <c r="AA1704" t="s">
        <v>2189</v>
      </c>
      <c r="AB1704" s="1" t="s">
        <v>5</v>
      </c>
      <c r="AC1704" s="1" t="s">
        <v>1914</v>
      </c>
      <c r="AD1704" s="1" t="s">
        <v>10</v>
      </c>
      <c r="AE1704" s="1" t="s">
        <v>0</v>
      </c>
      <c r="AF1704" s="1" t="s">
        <v>11</v>
      </c>
      <c r="AG1704">
        <f t="shared" si="53"/>
        <v>0</v>
      </c>
    </row>
    <row r="1705" spans="27:33" hidden="1" x14ac:dyDescent="0.25">
      <c r="AA1705" t="s">
        <v>1677</v>
      </c>
      <c r="AB1705" s="1" t="s">
        <v>4</v>
      </c>
      <c r="AC1705" s="1" t="s">
        <v>1</v>
      </c>
      <c r="AD1705" s="1" t="s">
        <v>12</v>
      </c>
      <c r="AE1705" s="1" t="s">
        <v>1</v>
      </c>
      <c r="AF1705" s="1" t="s">
        <v>3</v>
      </c>
      <c r="AG1705">
        <f t="shared" si="53"/>
        <v>0</v>
      </c>
    </row>
    <row r="1706" spans="27:33" hidden="1" x14ac:dyDescent="0.25">
      <c r="AA1706" t="s">
        <v>112</v>
      </c>
      <c r="AB1706" s="1" t="s">
        <v>1</v>
      </c>
      <c r="AC1706" s="1" t="s">
        <v>3</v>
      </c>
      <c r="AD1706" s="1" t="s">
        <v>1915</v>
      </c>
      <c r="AE1706" s="1" t="s">
        <v>5</v>
      </c>
      <c r="AF1706" s="1" t="s">
        <v>3</v>
      </c>
      <c r="AG1706">
        <f t="shared" si="53"/>
        <v>0</v>
      </c>
    </row>
    <row r="1707" spans="27:33" hidden="1" x14ac:dyDescent="0.25">
      <c r="AA1707" t="s">
        <v>387</v>
      </c>
      <c r="AB1707" s="1" t="s">
        <v>0</v>
      </c>
      <c r="AC1707" s="1" t="s">
        <v>1917</v>
      </c>
      <c r="AD1707" s="1" t="s">
        <v>10</v>
      </c>
      <c r="AE1707" s="1" t="s">
        <v>9</v>
      </c>
      <c r="AF1707" s="1" t="s">
        <v>11</v>
      </c>
      <c r="AG1707">
        <f t="shared" si="53"/>
        <v>0</v>
      </c>
    </row>
    <row r="1708" spans="27:33" hidden="1" x14ac:dyDescent="0.25">
      <c r="AA1708" t="s">
        <v>2239</v>
      </c>
      <c r="AB1708" s="1" t="s">
        <v>1919</v>
      </c>
      <c r="AC1708" s="1" t="s">
        <v>11</v>
      </c>
      <c r="AD1708" s="1" t="s">
        <v>7</v>
      </c>
      <c r="AE1708" s="1" t="s">
        <v>5</v>
      </c>
      <c r="AF1708" s="1" t="s">
        <v>6</v>
      </c>
      <c r="AG1708">
        <f t="shared" si="53"/>
        <v>0</v>
      </c>
    </row>
    <row r="1709" spans="27:33" hidden="1" x14ac:dyDescent="0.25">
      <c r="AA1709" t="s">
        <v>1943</v>
      </c>
      <c r="AB1709" s="1" t="s">
        <v>1</v>
      </c>
      <c r="AC1709" s="1" t="s">
        <v>3</v>
      </c>
      <c r="AD1709" s="1" t="s">
        <v>0</v>
      </c>
      <c r="AE1709" s="1" t="s">
        <v>1</v>
      </c>
      <c r="AF1709" s="1" t="s">
        <v>2</v>
      </c>
      <c r="AG1709">
        <f t="shared" si="53"/>
        <v>0</v>
      </c>
    </row>
    <row r="1710" spans="27:33" hidden="1" x14ac:dyDescent="0.25">
      <c r="AA1710" t="s">
        <v>889</v>
      </c>
      <c r="AB1710" s="1" t="s">
        <v>15</v>
      </c>
      <c r="AC1710" s="1" t="s">
        <v>11</v>
      </c>
      <c r="AD1710" s="1" t="s">
        <v>3</v>
      </c>
      <c r="AE1710" s="1" t="s">
        <v>11</v>
      </c>
      <c r="AF1710" s="1" t="s">
        <v>12</v>
      </c>
      <c r="AG1710">
        <f t="shared" si="53"/>
        <v>0</v>
      </c>
    </row>
    <row r="1711" spans="27:33" hidden="1" x14ac:dyDescent="0.25">
      <c r="AA1711" t="s">
        <v>2013</v>
      </c>
      <c r="AB1711" s="1" t="s">
        <v>1</v>
      </c>
      <c r="AC1711" s="1" t="s">
        <v>9</v>
      </c>
      <c r="AD1711" s="1" t="s">
        <v>10</v>
      </c>
      <c r="AE1711" s="1" t="s">
        <v>0</v>
      </c>
      <c r="AF1711" s="1" t="s">
        <v>11</v>
      </c>
      <c r="AG1711">
        <f t="shared" si="53"/>
        <v>0</v>
      </c>
    </row>
    <row r="1712" spans="27:33" hidden="1" x14ac:dyDescent="0.25">
      <c r="AA1712" t="s">
        <v>2106</v>
      </c>
      <c r="AB1712" s="1" t="s">
        <v>1914</v>
      </c>
      <c r="AC1712" s="1" t="s">
        <v>3</v>
      </c>
      <c r="AD1712" s="1" t="s">
        <v>10</v>
      </c>
      <c r="AE1712" s="1" t="s">
        <v>5</v>
      </c>
      <c r="AF1712" s="1" t="s">
        <v>2</v>
      </c>
      <c r="AG1712">
        <f t="shared" si="53"/>
        <v>0</v>
      </c>
    </row>
    <row r="1713" spans="27:33" hidden="1" x14ac:dyDescent="0.25">
      <c r="AA1713" t="s">
        <v>1955</v>
      </c>
      <c r="AB1713" s="1" t="s">
        <v>1915</v>
      </c>
      <c r="AC1713" s="1" t="s">
        <v>1</v>
      </c>
      <c r="AD1713" s="1" t="s">
        <v>1916</v>
      </c>
      <c r="AE1713" s="1" t="s">
        <v>5</v>
      </c>
      <c r="AF1713" s="1" t="s">
        <v>2</v>
      </c>
      <c r="AG1713">
        <f t="shared" si="53"/>
        <v>0</v>
      </c>
    </row>
    <row r="1714" spans="27:33" hidden="1" x14ac:dyDescent="0.25">
      <c r="AA1714" t="s">
        <v>514</v>
      </c>
      <c r="AB1714" s="1" t="s">
        <v>1915</v>
      </c>
      <c r="AC1714" s="1" t="s">
        <v>11</v>
      </c>
      <c r="AD1714" s="1" t="s">
        <v>1914</v>
      </c>
      <c r="AE1714" s="1" t="s">
        <v>11</v>
      </c>
      <c r="AF1714" s="1" t="s">
        <v>3</v>
      </c>
      <c r="AG1714">
        <f t="shared" si="53"/>
        <v>0</v>
      </c>
    </row>
    <row r="1715" spans="27:33" hidden="1" x14ac:dyDescent="0.25">
      <c r="AA1715" t="s">
        <v>2212</v>
      </c>
      <c r="AB1715" s="1" t="s">
        <v>1917</v>
      </c>
      <c r="AC1715" s="1" t="s">
        <v>8</v>
      </c>
      <c r="AD1715" s="1" t="s">
        <v>3</v>
      </c>
      <c r="AE1715" s="1" t="s">
        <v>5</v>
      </c>
      <c r="AF1715" s="1" t="s">
        <v>6</v>
      </c>
      <c r="AG1715">
        <f t="shared" si="53"/>
        <v>0</v>
      </c>
    </row>
    <row r="1716" spans="27:33" hidden="1" x14ac:dyDescent="0.25">
      <c r="AA1716" t="s">
        <v>812</v>
      </c>
      <c r="AB1716" s="1" t="s">
        <v>1917</v>
      </c>
      <c r="AC1716" s="1" t="s">
        <v>11</v>
      </c>
      <c r="AD1716" s="1" t="s">
        <v>0</v>
      </c>
      <c r="AE1716" s="1" t="s">
        <v>1917</v>
      </c>
      <c r="AF1716" s="1" t="s">
        <v>5</v>
      </c>
      <c r="AG1716">
        <f t="shared" si="53"/>
        <v>0</v>
      </c>
    </row>
    <row r="1717" spans="27:33" hidden="1" x14ac:dyDescent="0.25">
      <c r="AA1717" t="s">
        <v>1802</v>
      </c>
      <c r="AB1717" s="1" t="s">
        <v>8</v>
      </c>
      <c r="AC1717" s="1" t="s">
        <v>2</v>
      </c>
      <c r="AD1717" s="1" t="s">
        <v>4</v>
      </c>
      <c r="AE1717" s="1" t="s">
        <v>11</v>
      </c>
      <c r="AF1717" s="1" t="s">
        <v>1915</v>
      </c>
      <c r="AG1717">
        <f t="shared" si="53"/>
        <v>0</v>
      </c>
    </row>
    <row r="1718" spans="27:33" hidden="1" x14ac:dyDescent="0.25">
      <c r="AA1718" t="s">
        <v>602</v>
      </c>
      <c r="AB1718" s="1" t="s">
        <v>11</v>
      </c>
      <c r="AC1718" s="1" t="s">
        <v>1922</v>
      </c>
      <c r="AD1718" s="1" t="s">
        <v>4</v>
      </c>
      <c r="AE1718" s="1" t="s">
        <v>3</v>
      </c>
      <c r="AF1718" s="1" t="s">
        <v>1</v>
      </c>
      <c r="AG1718">
        <f t="shared" si="53"/>
        <v>0</v>
      </c>
    </row>
    <row r="1719" spans="27:33" hidden="1" x14ac:dyDescent="0.25">
      <c r="AA1719" t="s">
        <v>1224</v>
      </c>
      <c r="AB1719" s="1" t="s">
        <v>5</v>
      </c>
      <c r="AC1719" s="1" t="s">
        <v>9</v>
      </c>
      <c r="AD1719" s="1" t="s">
        <v>4</v>
      </c>
      <c r="AE1719" s="1" t="s">
        <v>1</v>
      </c>
      <c r="AF1719" s="1" t="s">
        <v>3</v>
      </c>
      <c r="AG1719">
        <f t="shared" si="53"/>
        <v>0</v>
      </c>
    </row>
    <row r="1720" spans="27:33" hidden="1" x14ac:dyDescent="0.25">
      <c r="AA1720" t="s">
        <v>1764</v>
      </c>
      <c r="AB1720" s="1" t="s">
        <v>4</v>
      </c>
      <c r="AC1720" s="1" t="s">
        <v>3</v>
      </c>
      <c r="AD1720" s="1" t="s">
        <v>10</v>
      </c>
      <c r="AE1720" s="1" t="s">
        <v>1914</v>
      </c>
      <c r="AF1720" s="1" t="s">
        <v>8</v>
      </c>
      <c r="AG1720">
        <f t="shared" si="53"/>
        <v>0</v>
      </c>
    </row>
    <row r="1721" spans="27:33" hidden="1" x14ac:dyDescent="0.25">
      <c r="AA1721" t="s">
        <v>304</v>
      </c>
      <c r="AB1721" s="1" t="s">
        <v>0</v>
      </c>
      <c r="AC1721" s="1" t="s">
        <v>1</v>
      </c>
      <c r="AD1721" s="1" t="s">
        <v>7</v>
      </c>
      <c r="AE1721" s="1" t="s">
        <v>1919</v>
      </c>
      <c r="AF1721" s="1" t="s">
        <v>1</v>
      </c>
      <c r="AG1721">
        <f t="shared" si="53"/>
        <v>0</v>
      </c>
    </row>
    <row r="1722" spans="27:33" hidden="1" x14ac:dyDescent="0.25">
      <c r="AA1722" t="s">
        <v>193</v>
      </c>
      <c r="AB1722" s="1" t="s">
        <v>1914</v>
      </c>
      <c r="AC1722" s="1" t="s">
        <v>11</v>
      </c>
      <c r="AD1722" s="1" t="s">
        <v>1914</v>
      </c>
      <c r="AE1722" s="1" t="s">
        <v>11</v>
      </c>
      <c r="AF1722" s="1" t="s">
        <v>3</v>
      </c>
      <c r="AG1722">
        <f t="shared" si="53"/>
        <v>0</v>
      </c>
    </row>
    <row r="1723" spans="27:33" hidden="1" x14ac:dyDescent="0.25">
      <c r="AA1723" t="s">
        <v>796</v>
      </c>
      <c r="AB1723" s="1" t="s">
        <v>1917</v>
      </c>
      <c r="AC1723" s="1" t="s">
        <v>1</v>
      </c>
      <c r="AD1723" s="1" t="s">
        <v>1914</v>
      </c>
      <c r="AE1723" s="1" t="s">
        <v>11</v>
      </c>
      <c r="AF1723" s="1" t="s">
        <v>3</v>
      </c>
      <c r="AG1723">
        <f t="shared" si="53"/>
        <v>0</v>
      </c>
    </row>
    <row r="1724" spans="27:33" hidden="1" x14ac:dyDescent="0.25">
      <c r="AA1724" t="s">
        <v>1689</v>
      </c>
      <c r="AB1724" s="1" t="s">
        <v>4</v>
      </c>
      <c r="AC1724" s="1" t="s">
        <v>11</v>
      </c>
      <c r="AD1724" s="1" t="s">
        <v>6</v>
      </c>
      <c r="AE1724" s="1" t="s">
        <v>10</v>
      </c>
      <c r="AF1724" s="1" t="s">
        <v>1</v>
      </c>
      <c r="AG1724">
        <f t="shared" si="53"/>
        <v>0</v>
      </c>
    </row>
    <row r="1725" spans="27:33" hidden="1" x14ac:dyDescent="0.25">
      <c r="AA1725" t="s">
        <v>1466</v>
      </c>
      <c r="AB1725" s="1" t="s">
        <v>3</v>
      </c>
      <c r="AC1725" s="1" t="s">
        <v>11</v>
      </c>
      <c r="AD1725" s="1" t="s">
        <v>13</v>
      </c>
      <c r="AE1725" s="1" t="s">
        <v>1</v>
      </c>
      <c r="AF1725" s="1" t="s">
        <v>3</v>
      </c>
      <c r="AG1725">
        <f t="shared" si="53"/>
        <v>0</v>
      </c>
    </row>
    <row r="1726" spans="27:33" hidden="1" x14ac:dyDescent="0.25">
      <c r="AA1726" t="s">
        <v>1400</v>
      </c>
      <c r="AB1726" s="1" t="s">
        <v>9</v>
      </c>
      <c r="AC1726" s="1" t="s">
        <v>8</v>
      </c>
      <c r="AD1726" s="1" t="s">
        <v>1915</v>
      </c>
      <c r="AE1726" s="1" t="s">
        <v>10</v>
      </c>
      <c r="AF1726" s="1" t="s">
        <v>6</v>
      </c>
      <c r="AG1726">
        <f t="shared" si="53"/>
        <v>0</v>
      </c>
    </row>
    <row r="1727" spans="27:33" hidden="1" x14ac:dyDescent="0.25">
      <c r="AA1727" t="s">
        <v>1367</v>
      </c>
      <c r="AB1727" s="1" t="s">
        <v>9</v>
      </c>
      <c r="AC1727" s="1" t="s">
        <v>5</v>
      </c>
      <c r="AD1727" s="1" t="s">
        <v>11</v>
      </c>
      <c r="AE1727" s="1" t="s">
        <v>4</v>
      </c>
      <c r="AF1727" s="1" t="s">
        <v>1</v>
      </c>
      <c r="AG1727">
        <f t="shared" si="53"/>
        <v>0</v>
      </c>
    </row>
    <row r="1728" spans="27:33" hidden="1" x14ac:dyDescent="0.25">
      <c r="AA1728" t="s">
        <v>1068</v>
      </c>
      <c r="AB1728" s="1" t="s">
        <v>13</v>
      </c>
      <c r="AC1728" s="1" t="s">
        <v>11</v>
      </c>
      <c r="AD1728" s="1" t="s">
        <v>4</v>
      </c>
      <c r="AE1728" s="1" t="s">
        <v>11</v>
      </c>
      <c r="AF1728" s="1" t="s">
        <v>3</v>
      </c>
      <c r="AG1728">
        <f t="shared" si="53"/>
        <v>0</v>
      </c>
    </row>
    <row r="1729" spans="27:33" hidden="1" x14ac:dyDescent="0.25">
      <c r="AA1729" t="s">
        <v>410</v>
      </c>
      <c r="AB1729" s="1" t="s">
        <v>0</v>
      </c>
      <c r="AC1729" s="1" t="s">
        <v>10</v>
      </c>
      <c r="AD1729" s="1" t="s">
        <v>6</v>
      </c>
      <c r="AE1729" s="1" t="s">
        <v>4</v>
      </c>
      <c r="AF1729" s="1" t="s">
        <v>1</v>
      </c>
      <c r="AG1729">
        <f t="shared" si="53"/>
        <v>0</v>
      </c>
    </row>
    <row r="1730" spans="27:33" hidden="1" x14ac:dyDescent="0.25">
      <c r="AA1730" t="s">
        <v>633</v>
      </c>
      <c r="AB1730" s="1" t="s">
        <v>1920</v>
      </c>
      <c r="AC1730" s="1" t="s">
        <v>11</v>
      </c>
      <c r="AD1730" s="1" t="s">
        <v>3</v>
      </c>
      <c r="AE1730" s="1" t="s">
        <v>5</v>
      </c>
      <c r="AF1730" s="1" t="s">
        <v>12</v>
      </c>
      <c r="AG1730">
        <f t="shared" si="53"/>
        <v>0</v>
      </c>
    </row>
    <row r="1731" spans="27:33" hidden="1" x14ac:dyDescent="0.25">
      <c r="AA1731" t="s">
        <v>1122</v>
      </c>
      <c r="AB1731" s="1" t="s">
        <v>13</v>
      </c>
      <c r="AC1731" s="1" t="s">
        <v>8</v>
      </c>
      <c r="AD1731" s="1" t="s">
        <v>1915</v>
      </c>
      <c r="AE1731" s="1" t="s">
        <v>11</v>
      </c>
      <c r="AF1731" s="1" t="s">
        <v>12</v>
      </c>
      <c r="AG1731">
        <f t="shared" ref="AG1731:AG1794" si="54">IF(AND(Z1731&gt;0,Z1731&lt;7),AG1730+1,0)</f>
        <v>0</v>
      </c>
    </row>
    <row r="1732" spans="27:33" hidden="1" x14ac:dyDescent="0.25">
      <c r="AA1732" t="s">
        <v>1743</v>
      </c>
      <c r="AB1732" s="1" t="s">
        <v>4</v>
      </c>
      <c r="AC1732" s="1" t="s">
        <v>5</v>
      </c>
      <c r="AD1732" s="1" t="s">
        <v>3</v>
      </c>
      <c r="AE1732" s="1" t="s">
        <v>4</v>
      </c>
      <c r="AF1732" s="1" t="s">
        <v>1</v>
      </c>
      <c r="AG1732">
        <f t="shared" si="54"/>
        <v>0</v>
      </c>
    </row>
    <row r="1733" spans="27:33" hidden="1" x14ac:dyDescent="0.25">
      <c r="AA1733" t="s">
        <v>1700</v>
      </c>
      <c r="AB1733" s="1" t="s">
        <v>4</v>
      </c>
      <c r="AC1733" s="1" t="s">
        <v>11</v>
      </c>
      <c r="AD1733" s="1" t="s">
        <v>3</v>
      </c>
      <c r="AE1733" s="1" t="s">
        <v>2</v>
      </c>
      <c r="AF1733" s="1" t="s">
        <v>1</v>
      </c>
      <c r="AG1733">
        <f t="shared" si="54"/>
        <v>0</v>
      </c>
    </row>
    <row r="1734" spans="27:33" hidden="1" x14ac:dyDescent="0.25">
      <c r="AA1734" t="s">
        <v>2291</v>
      </c>
      <c r="AB1734" s="1" t="s">
        <v>15</v>
      </c>
      <c r="AC1734" s="1" t="s">
        <v>10</v>
      </c>
      <c r="AD1734" s="1" t="s">
        <v>3</v>
      </c>
      <c r="AE1734" s="1" t="s">
        <v>5</v>
      </c>
      <c r="AF1734" s="1" t="s">
        <v>6</v>
      </c>
      <c r="AG1734">
        <f t="shared" si="54"/>
        <v>0</v>
      </c>
    </row>
    <row r="1735" spans="27:33" hidden="1" x14ac:dyDescent="0.25">
      <c r="AA1735" t="s">
        <v>1514</v>
      </c>
      <c r="AB1735" s="1" t="s">
        <v>3</v>
      </c>
      <c r="AC1735" s="1" t="s">
        <v>8</v>
      </c>
      <c r="AD1735" s="1" t="s">
        <v>11</v>
      </c>
      <c r="AE1735" s="1" t="s">
        <v>1915</v>
      </c>
      <c r="AF1735" s="1" t="s">
        <v>1</v>
      </c>
      <c r="AG1735">
        <f t="shared" si="54"/>
        <v>0</v>
      </c>
    </row>
    <row r="1736" spans="27:33" hidden="1" x14ac:dyDescent="0.25">
      <c r="AA1736" t="s">
        <v>956</v>
      </c>
      <c r="AB1736" s="1" t="s">
        <v>7</v>
      </c>
      <c r="AC1736" s="1" t="s">
        <v>10</v>
      </c>
      <c r="AD1736" s="1" t="s">
        <v>0</v>
      </c>
      <c r="AE1736" s="1" t="s">
        <v>5</v>
      </c>
      <c r="AF1736" s="1" t="s">
        <v>3</v>
      </c>
      <c r="AG1736">
        <f t="shared" si="54"/>
        <v>0</v>
      </c>
    </row>
    <row r="1737" spans="27:33" hidden="1" x14ac:dyDescent="0.25">
      <c r="AA1737" t="s">
        <v>2197</v>
      </c>
      <c r="AB1737" s="1" t="s">
        <v>2</v>
      </c>
      <c r="AC1737" s="1" t="s">
        <v>1</v>
      </c>
      <c r="AD1737" s="1" t="s">
        <v>15</v>
      </c>
      <c r="AE1737" s="1" t="s">
        <v>5</v>
      </c>
      <c r="AF1737" s="1" t="s">
        <v>6</v>
      </c>
      <c r="AG1737">
        <f t="shared" si="54"/>
        <v>0</v>
      </c>
    </row>
    <row r="1738" spans="27:33" hidden="1" x14ac:dyDescent="0.25">
      <c r="AA1738" t="s">
        <v>1735</v>
      </c>
      <c r="AB1738" s="1" t="s">
        <v>4</v>
      </c>
      <c r="AC1738" s="1" t="s">
        <v>5</v>
      </c>
      <c r="AD1738" s="1" t="s">
        <v>3</v>
      </c>
      <c r="AE1738" s="1" t="s">
        <v>1915</v>
      </c>
      <c r="AF1738" s="1" t="s">
        <v>5</v>
      </c>
      <c r="AG1738">
        <f t="shared" si="54"/>
        <v>0</v>
      </c>
    </row>
    <row r="1739" spans="27:33" hidden="1" x14ac:dyDescent="0.25">
      <c r="AA1739" t="s">
        <v>1751</v>
      </c>
      <c r="AB1739" s="1" t="s">
        <v>4</v>
      </c>
      <c r="AC1739" s="1" t="s">
        <v>3</v>
      </c>
      <c r="AD1739" s="1" t="s">
        <v>1</v>
      </c>
      <c r="AE1739" s="1" t="s">
        <v>1921</v>
      </c>
      <c r="AF1739" s="1" t="s">
        <v>5</v>
      </c>
      <c r="AG1739">
        <f t="shared" si="54"/>
        <v>0</v>
      </c>
    </row>
    <row r="1740" spans="27:33" hidden="1" x14ac:dyDescent="0.25">
      <c r="AA1740" t="s">
        <v>433</v>
      </c>
      <c r="AB1740" s="1" t="s">
        <v>0</v>
      </c>
      <c r="AC1740" s="1" t="s">
        <v>5</v>
      </c>
      <c r="AD1740" s="1" t="s">
        <v>0</v>
      </c>
      <c r="AE1740" s="1" t="s">
        <v>1917</v>
      </c>
      <c r="AF1740" s="1" t="s">
        <v>11</v>
      </c>
      <c r="AG1740">
        <f t="shared" si="54"/>
        <v>0</v>
      </c>
    </row>
    <row r="1741" spans="27:33" hidden="1" x14ac:dyDescent="0.25">
      <c r="AA1741" t="s">
        <v>519</v>
      </c>
      <c r="AB1741" s="1" t="s">
        <v>1915</v>
      </c>
      <c r="AC1741" s="1" t="s">
        <v>11</v>
      </c>
      <c r="AD1741" s="1" t="s">
        <v>15</v>
      </c>
      <c r="AE1741" s="1" t="s">
        <v>1</v>
      </c>
      <c r="AF1741" s="1" t="s">
        <v>3</v>
      </c>
      <c r="AG1741">
        <f t="shared" si="54"/>
        <v>0</v>
      </c>
    </row>
    <row r="1742" spans="27:33" hidden="1" x14ac:dyDescent="0.25">
      <c r="AA1742" t="s">
        <v>2142</v>
      </c>
      <c r="AB1742" s="1" t="s">
        <v>6</v>
      </c>
      <c r="AC1742" s="1" t="s">
        <v>1</v>
      </c>
      <c r="AD1742" s="1" t="s">
        <v>1919</v>
      </c>
      <c r="AE1742" s="1" t="s">
        <v>10</v>
      </c>
      <c r="AF1742" s="1" t="s">
        <v>5</v>
      </c>
      <c r="AG1742">
        <f t="shared" si="54"/>
        <v>0</v>
      </c>
    </row>
    <row r="1743" spans="27:33" hidden="1" x14ac:dyDescent="0.25">
      <c r="AA1743" t="s">
        <v>150</v>
      </c>
      <c r="AB1743" s="1" t="s">
        <v>1</v>
      </c>
      <c r="AC1743" s="1" t="s">
        <v>1918</v>
      </c>
      <c r="AD1743" s="1" t="s">
        <v>8</v>
      </c>
      <c r="AE1743" s="1" t="s">
        <v>1915</v>
      </c>
      <c r="AF1743" s="1" t="s">
        <v>1</v>
      </c>
      <c r="AG1743">
        <f t="shared" si="54"/>
        <v>0</v>
      </c>
    </row>
    <row r="1744" spans="27:33" hidden="1" x14ac:dyDescent="0.25">
      <c r="AA1744" t="s">
        <v>675</v>
      </c>
      <c r="AB1744" s="1" t="s">
        <v>1920</v>
      </c>
      <c r="AC1744" s="1" t="s">
        <v>5</v>
      </c>
      <c r="AD1744" s="1" t="s">
        <v>7</v>
      </c>
      <c r="AE1744" s="1" t="s">
        <v>10</v>
      </c>
      <c r="AF1744" s="1" t="s">
        <v>5</v>
      </c>
      <c r="AG1744">
        <f t="shared" si="54"/>
        <v>0</v>
      </c>
    </row>
    <row r="1745" spans="27:33" hidden="1" x14ac:dyDescent="0.25">
      <c r="AA1745" t="s">
        <v>237</v>
      </c>
      <c r="AB1745" s="1" t="s">
        <v>1914</v>
      </c>
      <c r="AC1745" s="1" t="s">
        <v>5</v>
      </c>
      <c r="AD1745" s="1" t="s">
        <v>3</v>
      </c>
      <c r="AE1745" s="1" t="s">
        <v>6</v>
      </c>
      <c r="AF1745" s="1" t="s">
        <v>1</v>
      </c>
      <c r="AG1745">
        <f t="shared" si="54"/>
        <v>0</v>
      </c>
    </row>
    <row r="1746" spans="27:33" hidden="1" x14ac:dyDescent="0.25">
      <c r="AA1746" t="s">
        <v>2301</v>
      </c>
      <c r="AB1746" s="1" t="s">
        <v>8</v>
      </c>
      <c r="AC1746" s="1" t="s">
        <v>4</v>
      </c>
      <c r="AD1746" s="1" t="s">
        <v>11</v>
      </c>
      <c r="AE1746" s="1" t="s">
        <v>3</v>
      </c>
      <c r="AF1746" s="1" t="s">
        <v>5</v>
      </c>
      <c r="AG1746">
        <f t="shared" si="54"/>
        <v>0</v>
      </c>
    </row>
    <row r="1747" spans="27:33" hidden="1" x14ac:dyDescent="0.25">
      <c r="AA1747" t="s">
        <v>67</v>
      </c>
      <c r="AB1747" s="1" t="s">
        <v>1</v>
      </c>
      <c r="AC1747" s="1" t="s">
        <v>13</v>
      </c>
      <c r="AD1747" s="1" t="s">
        <v>1</v>
      </c>
      <c r="AE1747" s="1" t="s">
        <v>1915</v>
      </c>
      <c r="AF1747" s="1" t="s">
        <v>1</v>
      </c>
      <c r="AG1747">
        <f t="shared" si="54"/>
        <v>0</v>
      </c>
    </row>
    <row r="1748" spans="27:33" hidden="1" x14ac:dyDescent="0.25">
      <c r="AA1748" t="s">
        <v>2235</v>
      </c>
      <c r="AB1748" s="1" t="s">
        <v>1914</v>
      </c>
      <c r="AC1748" s="1" t="s">
        <v>8</v>
      </c>
      <c r="AD1748" s="1" t="s">
        <v>12</v>
      </c>
      <c r="AE1748" s="1" t="s">
        <v>5</v>
      </c>
      <c r="AF1748" s="1" t="s">
        <v>6</v>
      </c>
      <c r="AG1748">
        <f t="shared" si="54"/>
        <v>0</v>
      </c>
    </row>
    <row r="1749" spans="27:33" hidden="1" x14ac:dyDescent="0.25">
      <c r="AA1749" t="s">
        <v>1804</v>
      </c>
      <c r="AB1749" s="1" t="s">
        <v>8</v>
      </c>
      <c r="AC1749" s="1" t="s">
        <v>2</v>
      </c>
      <c r="AD1749" s="1" t="s">
        <v>8</v>
      </c>
      <c r="AE1749" s="1" t="s">
        <v>3</v>
      </c>
      <c r="AF1749" s="1" t="s">
        <v>1</v>
      </c>
      <c r="AG1749">
        <f t="shared" si="54"/>
        <v>0</v>
      </c>
    </row>
    <row r="1750" spans="27:33" hidden="1" x14ac:dyDescent="0.25">
      <c r="AA1750" t="s">
        <v>653</v>
      </c>
      <c r="AB1750" s="1" t="s">
        <v>1920</v>
      </c>
      <c r="AC1750" s="1" t="s">
        <v>10</v>
      </c>
      <c r="AD1750" s="1" t="s">
        <v>3</v>
      </c>
      <c r="AE1750" s="1" t="s">
        <v>13</v>
      </c>
      <c r="AF1750" s="1" t="s">
        <v>11</v>
      </c>
      <c r="AG1750">
        <f t="shared" si="54"/>
        <v>0</v>
      </c>
    </row>
    <row r="1751" spans="27:33" hidden="1" x14ac:dyDescent="0.25">
      <c r="AA1751" t="s">
        <v>1273</v>
      </c>
      <c r="AB1751" s="1" t="s">
        <v>9</v>
      </c>
      <c r="AC1751" s="1" t="s">
        <v>1</v>
      </c>
      <c r="AD1751" s="1" t="s">
        <v>3</v>
      </c>
      <c r="AE1751" s="1" t="s">
        <v>10</v>
      </c>
      <c r="AF1751" s="1" t="s">
        <v>1</v>
      </c>
      <c r="AG1751">
        <f t="shared" si="54"/>
        <v>0</v>
      </c>
    </row>
    <row r="1752" spans="27:33" hidden="1" x14ac:dyDescent="0.25">
      <c r="AA1752" t="s">
        <v>1296</v>
      </c>
      <c r="AB1752" s="1" t="s">
        <v>9</v>
      </c>
      <c r="AC1752" s="1" t="s">
        <v>11</v>
      </c>
      <c r="AD1752" s="1" t="s">
        <v>1915</v>
      </c>
      <c r="AE1752" s="1" t="s">
        <v>1</v>
      </c>
      <c r="AF1752" s="1" t="s">
        <v>7</v>
      </c>
      <c r="AG1752">
        <f t="shared" si="54"/>
        <v>0</v>
      </c>
    </row>
    <row r="1753" spans="27:33" hidden="1" x14ac:dyDescent="0.25">
      <c r="AA1753" t="s">
        <v>397</v>
      </c>
      <c r="AB1753" s="1" t="s">
        <v>0</v>
      </c>
      <c r="AC1753" s="1" t="s">
        <v>1917</v>
      </c>
      <c r="AD1753" s="1" t="s">
        <v>8</v>
      </c>
      <c r="AE1753" s="1" t="s">
        <v>7</v>
      </c>
      <c r="AF1753" s="1" t="s">
        <v>1</v>
      </c>
      <c r="AG1753">
        <f t="shared" si="54"/>
        <v>0</v>
      </c>
    </row>
    <row r="1754" spans="27:33" hidden="1" x14ac:dyDescent="0.25">
      <c r="AA1754" t="s">
        <v>82</v>
      </c>
      <c r="AB1754" s="1" t="s">
        <v>1</v>
      </c>
      <c r="AC1754" s="1" t="s">
        <v>6</v>
      </c>
      <c r="AD1754" s="1" t="s">
        <v>0</v>
      </c>
      <c r="AE1754" s="1" t="s">
        <v>1917</v>
      </c>
      <c r="AF1754" s="1" t="s">
        <v>1</v>
      </c>
      <c r="AG1754">
        <f t="shared" si="54"/>
        <v>0</v>
      </c>
    </row>
    <row r="1755" spans="27:33" hidden="1" x14ac:dyDescent="0.25">
      <c r="AA1755" t="s">
        <v>1441</v>
      </c>
      <c r="AB1755" s="1" t="s">
        <v>3</v>
      </c>
      <c r="AC1755" s="1" t="s">
        <v>1</v>
      </c>
      <c r="AD1755" s="1" t="s">
        <v>2</v>
      </c>
      <c r="AE1755" s="1" t="s">
        <v>0</v>
      </c>
      <c r="AF1755" s="1" t="s">
        <v>1</v>
      </c>
      <c r="AG1755">
        <f t="shared" si="54"/>
        <v>0</v>
      </c>
    </row>
    <row r="1756" spans="27:33" hidden="1" x14ac:dyDescent="0.25">
      <c r="AA1756" t="s">
        <v>1970</v>
      </c>
      <c r="AB1756" s="1" t="s">
        <v>9</v>
      </c>
      <c r="AC1756" s="1" t="s">
        <v>11</v>
      </c>
      <c r="AD1756" s="1" t="s">
        <v>2</v>
      </c>
      <c r="AE1756" s="1" t="s">
        <v>1</v>
      </c>
      <c r="AF1756" s="1" t="s">
        <v>2</v>
      </c>
      <c r="AG1756">
        <f t="shared" si="54"/>
        <v>0</v>
      </c>
    </row>
    <row r="1757" spans="27:33" hidden="1" x14ac:dyDescent="0.25">
      <c r="AA1757" t="s">
        <v>1168</v>
      </c>
      <c r="AB1757" s="1" t="s">
        <v>6</v>
      </c>
      <c r="AC1757" s="1" t="s">
        <v>10</v>
      </c>
      <c r="AD1757" s="1" t="s">
        <v>6</v>
      </c>
      <c r="AE1757" s="1" t="s">
        <v>1920</v>
      </c>
      <c r="AF1757" s="1" t="s">
        <v>1</v>
      </c>
      <c r="AG1757">
        <f t="shared" si="54"/>
        <v>0</v>
      </c>
    </row>
    <row r="1758" spans="27:33" hidden="1" x14ac:dyDescent="0.25">
      <c r="AA1758" t="s">
        <v>33</v>
      </c>
      <c r="AB1758" s="1" t="s">
        <v>1</v>
      </c>
      <c r="AC1758" s="1" t="s">
        <v>0</v>
      </c>
      <c r="AD1758" s="1" t="s">
        <v>8</v>
      </c>
      <c r="AE1758" s="1" t="s">
        <v>2</v>
      </c>
      <c r="AF1758" s="1" t="s">
        <v>11</v>
      </c>
      <c r="AG1758">
        <f t="shared" si="54"/>
        <v>0</v>
      </c>
    </row>
    <row r="1759" spans="27:33" hidden="1" x14ac:dyDescent="0.25">
      <c r="AA1759" t="s">
        <v>42</v>
      </c>
      <c r="AB1759" s="1" t="s">
        <v>1</v>
      </c>
      <c r="AC1759" s="1" t="s">
        <v>1921</v>
      </c>
      <c r="AD1759" s="1" t="s">
        <v>8</v>
      </c>
      <c r="AE1759" s="1" t="s">
        <v>1915</v>
      </c>
      <c r="AF1759" s="1" t="s">
        <v>1</v>
      </c>
      <c r="AG1759">
        <f t="shared" si="54"/>
        <v>0</v>
      </c>
    </row>
    <row r="1760" spans="27:33" hidden="1" x14ac:dyDescent="0.25">
      <c r="AA1760" t="s">
        <v>417</v>
      </c>
      <c r="AB1760" s="1" t="s">
        <v>0</v>
      </c>
      <c r="AC1760" s="1" t="s">
        <v>10</v>
      </c>
      <c r="AD1760" s="1" t="s">
        <v>4</v>
      </c>
      <c r="AE1760" s="1" t="s">
        <v>1</v>
      </c>
      <c r="AF1760" s="1" t="s">
        <v>3</v>
      </c>
      <c r="AG1760">
        <f t="shared" si="54"/>
        <v>0</v>
      </c>
    </row>
    <row r="1761" spans="27:33" hidden="1" x14ac:dyDescent="0.25">
      <c r="AA1761" t="s">
        <v>1151</v>
      </c>
      <c r="AB1761" s="1" t="s">
        <v>6</v>
      </c>
      <c r="AC1761" s="1" t="s">
        <v>1</v>
      </c>
      <c r="AD1761" s="1" t="s">
        <v>2</v>
      </c>
      <c r="AE1761" s="1" t="s">
        <v>1</v>
      </c>
      <c r="AF1761" s="1" t="s">
        <v>7</v>
      </c>
      <c r="AG1761">
        <f t="shared" si="54"/>
        <v>0</v>
      </c>
    </row>
    <row r="1762" spans="27:33" hidden="1" x14ac:dyDescent="0.25">
      <c r="AA1762" t="s">
        <v>932</v>
      </c>
      <c r="AB1762" s="1" t="s">
        <v>7</v>
      </c>
      <c r="AC1762" s="1" t="s">
        <v>1</v>
      </c>
      <c r="AD1762" s="1" t="s">
        <v>8</v>
      </c>
      <c r="AE1762" s="1" t="s">
        <v>1915</v>
      </c>
      <c r="AF1762" s="1" t="s">
        <v>5</v>
      </c>
      <c r="AG1762">
        <f t="shared" si="54"/>
        <v>0</v>
      </c>
    </row>
    <row r="1763" spans="27:33" hidden="1" x14ac:dyDescent="0.25">
      <c r="AA1763" t="s">
        <v>1189</v>
      </c>
      <c r="AB1763" s="1" t="s">
        <v>6</v>
      </c>
      <c r="AC1763" s="1" t="s">
        <v>8</v>
      </c>
      <c r="AD1763" s="1" t="s">
        <v>1914</v>
      </c>
      <c r="AE1763" s="1" t="s">
        <v>10</v>
      </c>
      <c r="AF1763" s="1" t="s">
        <v>5</v>
      </c>
      <c r="AG1763">
        <f t="shared" si="54"/>
        <v>0</v>
      </c>
    </row>
    <row r="1764" spans="27:33" hidden="1" x14ac:dyDescent="0.25">
      <c r="AA1764" t="s">
        <v>962</v>
      </c>
      <c r="AB1764" s="1" t="s">
        <v>7</v>
      </c>
      <c r="AC1764" s="1" t="s">
        <v>10</v>
      </c>
      <c r="AD1764" s="1" t="s">
        <v>13</v>
      </c>
      <c r="AE1764" s="1" t="s">
        <v>1</v>
      </c>
      <c r="AF1764" s="1" t="s">
        <v>3</v>
      </c>
      <c r="AG1764">
        <f t="shared" si="54"/>
        <v>0</v>
      </c>
    </row>
    <row r="1765" spans="27:33" hidden="1" x14ac:dyDescent="0.25">
      <c r="AA1765" t="s">
        <v>1125</v>
      </c>
      <c r="AB1765" s="1" t="s">
        <v>13</v>
      </c>
      <c r="AC1765" s="1" t="s">
        <v>8</v>
      </c>
      <c r="AD1765" s="1" t="s">
        <v>1921</v>
      </c>
      <c r="AE1765" s="1" t="s">
        <v>10</v>
      </c>
      <c r="AF1765" s="1" t="s">
        <v>3</v>
      </c>
      <c r="AG1765">
        <f t="shared" si="54"/>
        <v>0</v>
      </c>
    </row>
    <row r="1766" spans="27:33" hidden="1" x14ac:dyDescent="0.25">
      <c r="AA1766" t="s">
        <v>1961</v>
      </c>
      <c r="AB1766" s="1" t="s">
        <v>1917</v>
      </c>
      <c r="AC1766" s="1" t="s">
        <v>1</v>
      </c>
      <c r="AD1766" s="1" t="s">
        <v>1915</v>
      </c>
      <c r="AE1766" s="1" t="s">
        <v>5</v>
      </c>
      <c r="AF1766" s="1" t="s">
        <v>2</v>
      </c>
      <c r="AG1766">
        <f t="shared" si="54"/>
        <v>0</v>
      </c>
    </row>
    <row r="1767" spans="27:33" hidden="1" x14ac:dyDescent="0.25">
      <c r="AA1767" t="s">
        <v>1069</v>
      </c>
      <c r="AB1767" s="1" t="s">
        <v>13</v>
      </c>
      <c r="AC1767" s="1" t="s">
        <v>11</v>
      </c>
      <c r="AD1767" s="1" t="s">
        <v>4</v>
      </c>
      <c r="AE1767" s="1" t="s">
        <v>3</v>
      </c>
      <c r="AF1767" s="1" t="s">
        <v>5</v>
      </c>
      <c r="AG1767">
        <f t="shared" si="54"/>
        <v>0</v>
      </c>
    </row>
    <row r="1768" spans="27:33" hidden="1" x14ac:dyDescent="0.25">
      <c r="AA1768" t="s">
        <v>905</v>
      </c>
      <c r="AB1768" s="1" t="s">
        <v>15</v>
      </c>
      <c r="AC1768" s="1" t="s">
        <v>8</v>
      </c>
      <c r="AD1768" s="1" t="s">
        <v>3</v>
      </c>
      <c r="AE1768" s="1" t="s">
        <v>11</v>
      </c>
      <c r="AF1768" s="1" t="s">
        <v>7</v>
      </c>
      <c r="AG1768">
        <f t="shared" si="54"/>
        <v>0</v>
      </c>
    </row>
    <row r="1769" spans="27:33" hidden="1" x14ac:dyDescent="0.25">
      <c r="AA1769" t="s">
        <v>2030</v>
      </c>
      <c r="AB1769" s="1" t="s">
        <v>1915</v>
      </c>
      <c r="AC1769" s="1" t="s">
        <v>10</v>
      </c>
      <c r="AD1769" s="1" t="s">
        <v>1919</v>
      </c>
      <c r="AE1769" s="1" t="s">
        <v>1</v>
      </c>
      <c r="AF1769" s="1" t="s">
        <v>6</v>
      </c>
      <c r="AG1769">
        <f t="shared" si="54"/>
        <v>0</v>
      </c>
    </row>
    <row r="1770" spans="27:33" hidden="1" x14ac:dyDescent="0.25">
      <c r="AA1770" t="s">
        <v>1029</v>
      </c>
      <c r="AB1770" s="1" t="s">
        <v>13</v>
      </c>
      <c r="AC1770" s="1" t="s">
        <v>1</v>
      </c>
      <c r="AD1770" s="1" t="s">
        <v>6</v>
      </c>
      <c r="AE1770" s="1" t="s">
        <v>4</v>
      </c>
      <c r="AF1770" s="1" t="s">
        <v>5</v>
      </c>
      <c r="AG1770">
        <f t="shared" si="54"/>
        <v>0</v>
      </c>
    </row>
    <row r="1771" spans="27:33" hidden="1" x14ac:dyDescent="0.25">
      <c r="AA1771" t="s">
        <v>90</v>
      </c>
      <c r="AB1771" s="1" t="s">
        <v>1</v>
      </c>
      <c r="AC1771" s="1" t="s">
        <v>6</v>
      </c>
      <c r="AD1771" s="1" t="s">
        <v>11</v>
      </c>
      <c r="AE1771" s="1" t="s">
        <v>1922</v>
      </c>
      <c r="AF1771" s="1" t="s">
        <v>5</v>
      </c>
      <c r="AG1771">
        <f t="shared" si="54"/>
        <v>0</v>
      </c>
    </row>
    <row r="1772" spans="27:33" hidden="1" x14ac:dyDescent="0.25">
      <c r="AA1772" t="s">
        <v>872</v>
      </c>
      <c r="AB1772" s="1" t="s">
        <v>10</v>
      </c>
      <c r="AC1772" s="1" t="s">
        <v>2</v>
      </c>
      <c r="AD1772" s="1" t="s">
        <v>4</v>
      </c>
      <c r="AE1772" s="1" t="s">
        <v>13</v>
      </c>
      <c r="AF1772" s="1" t="s">
        <v>5</v>
      </c>
      <c r="AG1772">
        <f t="shared" si="54"/>
        <v>0</v>
      </c>
    </row>
    <row r="1773" spans="27:33" hidden="1" x14ac:dyDescent="0.25">
      <c r="AA1773" t="s">
        <v>1897</v>
      </c>
      <c r="AB1773" s="1" t="s">
        <v>12</v>
      </c>
      <c r="AC1773" s="1" t="s">
        <v>1</v>
      </c>
      <c r="AD1773" s="1" t="s">
        <v>1921</v>
      </c>
      <c r="AE1773" s="1" t="s">
        <v>1</v>
      </c>
      <c r="AF1773" s="1" t="s">
        <v>7</v>
      </c>
      <c r="AG1773">
        <f t="shared" si="54"/>
        <v>0</v>
      </c>
    </row>
    <row r="1774" spans="27:33" hidden="1" x14ac:dyDescent="0.25">
      <c r="AA1774" t="s">
        <v>1860</v>
      </c>
      <c r="AB1774" s="1" t="s">
        <v>1919</v>
      </c>
      <c r="AC1774" s="1" t="s">
        <v>10</v>
      </c>
      <c r="AD1774" s="1" t="s">
        <v>2</v>
      </c>
      <c r="AE1774" s="1" t="s">
        <v>4</v>
      </c>
      <c r="AF1774" s="1" t="s">
        <v>5</v>
      </c>
      <c r="AG1774">
        <f t="shared" si="54"/>
        <v>0</v>
      </c>
    </row>
    <row r="1775" spans="27:33" hidden="1" x14ac:dyDescent="0.25">
      <c r="AA1775" t="s">
        <v>799</v>
      </c>
      <c r="AB1775" s="1" t="s">
        <v>1917</v>
      </c>
      <c r="AC1775" s="1" t="s">
        <v>1</v>
      </c>
      <c r="AD1775" s="1" t="s">
        <v>0</v>
      </c>
      <c r="AE1775" s="1" t="s">
        <v>1917</v>
      </c>
      <c r="AF1775" s="1" t="s">
        <v>1</v>
      </c>
      <c r="AG1775">
        <f t="shared" si="54"/>
        <v>0</v>
      </c>
    </row>
    <row r="1776" spans="27:33" hidden="1" x14ac:dyDescent="0.25">
      <c r="AA1776" t="s">
        <v>1637</v>
      </c>
      <c r="AB1776" s="1" t="s">
        <v>2</v>
      </c>
      <c r="AC1776" s="1" t="s">
        <v>8</v>
      </c>
      <c r="AD1776" s="1" t="s">
        <v>13</v>
      </c>
      <c r="AE1776" s="1" t="s">
        <v>1</v>
      </c>
      <c r="AF1776" s="1" t="s">
        <v>3</v>
      </c>
      <c r="AG1776">
        <f t="shared" si="54"/>
        <v>0</v>
      </c>
    </row>
    <row r="1777" spans="27:33" hidden="1" x14ac:dyDescent="0.25">
      <c r="AA1777" t="s">
        <v>2261</v>
      </c>
      <c r="AB1777" s="1" t="s">
        <v>2</v>
      </c>
      <c r="AC1777" s="1" t="s">
        <v>10</v>
      </c>
      <c r="AD1777" s="1" t="s">
        <v>1920</v>
      </c>
      <c r="AE1777" s="1" t="s">
        <v>5</v>
      </c>
      <c r="AF1777" s="1" t="s">
        <v>6</v>
      </c>
      <c r="AG1777">
        <f t="shared" si="54"/>
        <v>0</v>
      </c>
    </row>
    <row r="1778" spans="27:33" hidden="1" x14ac:dyDescent="0.25">
      <c r="AA1778" t="s">
        <v>356</v>
      </c>
      <c r="AB1778" s="1" t="s">
        <v>0</v>
      </c>
      <c r="AC1778" s="1" t="s">
        <v>11</v>
      </c>
      <c r="AD1778" s="1" t="s">
        <v>15</v>
      </c>
      <c r="AE1778" s="1" t="s">
        <v>1</v>
      </c>
      <c r="AF1778" s="1" t="s">
        <v>3</v>
      </c>
      <c r="AG1778">
        <f t="shared" si="54"/>
        <v>0</v>
      </c>
    </row>
    <row r="1779" spans="27:33" hidden="1" x14ac:dyDescent="0.25">
      <c r="AA1779" t="s">
        <v>2190</v>
      </c>
      <c r="AB1779" s="1" t="s">
        <v>7</v>
      </c>
      <c r="AC1779" s="1" t="s">
        <v>10</v>
      </c>
      <c r="AD1779" s="1" t="s">
        <v>13</v>
      </c>
      <c r="AE1779" s="1" t="s">
        <v>5</v>
      </c>
      <c r="AF1779" s="1" t="s">
        <v>6</v>
      </c>
      <c r="AG1779">
        <f t="shared" si="54"/>
        <v>0</v>
      </c>
    </row>
    <row r="1780" spans="27:33" hidden="1" x14ac:dyDescent="0.25">
      <c r="AA1780" t="s">
        <v>823</v>
      </c>
      <c r="AB1780" s="1" t="s">
        <v>1917</v>
      </c>
      <c r="AC1780" s="1" t="s">
        <v>10</v>
      </c>
      <c r="AD1780" s="1" t="s">
        <v>13</v>
      </c>
      <c r="AE1780" s="1" t="s">
        <v>11</v>
      </c>
      <c r="AF1780" s="1" t="s">
        <v>6</v>
      </c>
      <c r="AG1780">
        <f t="shared" si="54"/>
        <v>0</v>
      </c>
    </row>
    <row r="1781" spans="27:33" hidden="1" x14ac:dyDescent="0.25">
      <c r="AA1781" t="s">
        <v>37</v>
      </c>
      <c r="AB1781" s="1" t="s">
        <v>1</v>
      </c>
      <c r="AC1781" s="1" t="s">
        <v>1920</v>
      </c>
      <c r="AD1781" s="1" t="s">
        <v>10</v>
      </c>
      <c r="AE1781" s="1" t="s">
        <v>15</v>
      </c>
      <c r="AF1781" s="1" t="s">
        <v>5</v>
      </c>
      <c r="AG1781">
        <f t="shared" si="54"/>
        <v>0</v>
      </c>
    </row>
    <row r="1782" spans="27:33" hidden="1" x14ac:dyDescent="0.25">
      <c r="AA1782" t="s">
        <v>563</v>
      </c>
      <c r="AB1782" s="1" t="s">
        <v>1915</v>
      </c>
      <c r="AC1782" s="1" t="s">
        <v>8</v>
      </c>
      <c r="AD1782" s="1" t="s">
        <v>1915</v>
      </c>
      <c r="AE1782" s="1" t="s">
        <v>1</v>
      </c>
      <c r="AF1782" s="1" t="s">
        <v>3</v>
      </c>
      <c r="AG1782">
        <f t="shared" si="54"/>
        <v>0</v>
      </c>
    </row>
    <row r="1783" spans="27:33" hidden="1" x14ac:dyDescent="0.25">
      <c r="AA1783" t="s">
        <v>1248</v>
      </c>
      <c r="AB1783" s="1" t="s">
        <v>9</v>
      </c>
      <c r="AC1783" s="1" t="s">
        <v>1</v>
      </c>
      <c r="AD1783" s="1" t="s">
        <v>1915</v>
      </c>
      <c r="AE1783" s="1" t="s">
        <v>3</v>
      </c>
      <c r="AF1783" s="1" t="s">
        <v>11</v>
      </c>
      <c r="AG1783">
        <f t="shared" si="54"/>
        <v>0</v>
      </c>
    </row>
    <row r="1784" spans="27:33" hidden="1" x14ac:dyDescent="0.25">
      <c r="AA1784" t="s">
        <v>158</v>
      </c>
      <c r="AB1784" s="1" t="s">
        <v>1914</v>
      </c>
      <c r="AC1784" s="1" t="s">
        <v>1</v>
      </c>
      <c r="AD1784" s="1" t="s">
        <v>0</v>
      </c>
      <c r="AE1784" s="1" t="s">
        <v>1917</v>
      </c>
      <c r="AF1784" s="1" t="s">
        <v>11</v>
      </c>
      <c r="AG1784">
        <f t="shared" si="54"/>
        <v>0</v>
      </c>
    </row>
    <row r="1785" spans="27:33" hidden="1" x14ac:dyDescent="0.25">
      <c r="AA1785" t="s">
        <v>1392</v>
      </c>
      <c r="AB1785" s="1" t="s">
        <v>9</v>
      </c>
      <c r="AC1785" s="1" t="s">
        <v>3</v>
      </c>
      <c r="AD1785" s="1" t="s">
        <v>10</v>
      </c>
      <c r="AE1785" s="1" t="s">
        <v>13</v>
      </c>
      <c r="AF1785" s="1" t="s">
        <v>1</v>
      </c>
      <c r="AG1785">
        <f t="shared" si="54"/>
        <v>0</v>
      </c>
    </row>
    <row r="1786" spans="27:33" hidden="1" x14ac:dyDescent="0.25">
      <c r="AA1786" t="s">
        <v>1533</v>
      </c>
      <c r="AB1786" s="1" t="s">
        <v>2</v>
      </c>
      <c r="AC1786" s="1" t="s">
        <v>1</v>
      </c>
      <c r="AD1786" s="1" t="s">
        <v>0</v>
      </c>
      <c r="AE1786" s="1" t="s">
        <v>3</v>
      </c>
      <c r="AF1786" s="1" t="s">
        <v>5</v>
      </c>
      <c r="AG1786">
        <f t="shared" si="54"/>
        <v>0</v>
      </c>
    </row>
    <row r="1787" spans="27:33" hidden="1" x14ac:dyDescent="0.25">
      <c r="AA1787" t="s">
        <v>617</v>
      </c>
      <c r="AB1787" s="1" t="s">
        <v>1920</v>
      </c>
      <c r="AC1787" s="1" t="s">
        <v>1</v>
      </c>
      <c r="AD1787" s="1" t="s">
        <v>3</v>
      </c>
      <c r="AE1787" s="1" t="s">
        <v>10</v>
      </c>
      <c r="AF1787" s="1" t="s">
        <v>1</v>
      </c>
      <c r="AG1787">
        <f t="shared" si="54"/>
        <v>0</v>
      </c>
    </row>
    <row r="1788" spans="27:33" hidden="1" x14ac:dyDescent="0.25">
      <c r="AA1788" t="s">
        <v>1727</v>
      </c>
      <c r="AB1788" s="1" t="s">
        <v>4</v>
      </c>
      <c r="AC1788" s="1" t="s">
        <v>5</v>
      </c>
      <c r="AD1788" s="1" t="s">
        <v>6</v>
      </c>
      <c r="AE1788" s="1" t="s">
        <v>1</v>
      </c>
      <c r="AF1788" s="1" t="s">
        <v>7</v>
      </c>
      <c r="AG1788">
        <f t="shared" si="54"/>
        <v>0</v>
      </c>
    </row>
    <row r="1789" spans="27:33" hidden="1" x14ac:dyDescent="0.25">
      <c r="AA1789" t="s">
        <v>1596</v>
      </c>
      <c r="AB1789" s="1" t="s">
        <v>2</v>
      </c>
      <c r="AC1789" s="1" t="s">
        <v>10</v>
      </c>
      <c r="AD1789" s="1" t="s">
        <v>13</v>
      </c>
      <c r="AE1789" s="1" t="s">
        <v>9</v>
      </c>
      <c r="AF1789" s="1" t="s">
        <v>1</v>
      </c>
      <c r="AG1789">
        <f t="shared" si="54"/>
        <v>0</v>
      </c>
    </row>
    <row r="1790" spans="27:33" hidden="1" x14ac:dyDescent="0.25">
      <c r="AA1790" t="s">
        <v>92</v>
      </c>
      <c r="AB1790" s="1" t="s">
        <v>1</v>
      </c>
      <c r="AC1790" s="1" t="s">
        <v>1916</v>
      </c>
      <c r="AD1790" s="1" t="s">
        <v>5</v>
      </c>
      <c r="AE1790" s="1" t="s">
        <v>15</v>
      </c>
      <c r="AF1790" s="1" t="s">
        <v>5</v>
      </c>
      <c r="AG1790">
        <f t="shared" si="54"/>
        <v>0</v>
      </c>
    </row>
    <row r="1791" spans="27:33" hidden="1" x14ac:dyDescent="0.25">
      <c r="AA1791" t="s">
        <v>159</v>
      </c>
      <c r="AB1791" s="1" t="s">
        <v>1914</v>
      </c>
      <c r="AC1791" s="1" t="s">
        <v>1</v>
      </c>
      <c r="AD1791" s="1" t="s">
        <v>1915</v>
      </c>
      <c r="AE1791" s="1" t="s">
        <v>10</v>
      </c>
      <c r="AF1791" s="1" t="s">
        <v>7</v>
      </c>
      <c r="AG1791">
        <f t="shared" si="54"/>
        <v>0</v>
      </c>
    </row>
    <row r="1792" spans="27:33" hidden="1" x14ac:dyDescent="0.25">
      <c r="AA1792" t="s">
        <v>440</v>
      </c>
      <c r="AB1792" s="1" t="s">
        <v>0</v>
      </c>
      <c r="AC1792" s="1" t="s">
        <v>5</v>
      </c>
      <c r="AD1792" s="1" t="s">
        <v>7</v>
      </c>
      <c r="AE1792" s="1" t="s">
        <v>5</v>
      </c>
      <c r="AF1792" s="1" t="s">
        <v>6</v>
      </c>
      <c r="AG1792">
        <f t="shared" si="54"/>
        <v>0</v>
      </c>
    </row>
    <row r="1793" spans="27:33" hidden="1" x14ac:dyDescent="0.25">
      <c r="AA1793" t="s">
        <v>1660</v>
      </c>
      <c r="AB1793" s="1" t="s">
        <v>4</v>
      </c>
      <c r="AC1793" s="1" t="s">
        <v>1</v>
      </c>
      <c r="AD1793" s="1" t="s">
        <v>6</v>
      </c>
      <c r="AE1793" s="1" t="s">
        <v>4</v>
      </c>
      <c r="AF1793" s="1" t="s">
        <v>1</v>
      </c>
      <c r="AG1793">
        <f t="shared" si="54"/>
        <v>0</v>
      </c>
    </row>
    <row r="1794" spans="27:33" hidden="1" x14ac:dyDescent="0.25">
      <c r="AA1794" t="s">
        <v>1851</v>
      </c>
      <c r="AB1794" s="1" t="s">
        <v>1919</v>
      </c>
      <c r="AC1794" s="1" t="s">
        <v>10</v>
      </c>
      <c r="AD1794" s="1" t="s">
        <v>3</v>
      </c>
      <c r="AE1794" s="1" t="s">
        <v>1</v>
      </c>
      <c r="AF1794" s="1" t="s">
        <v>7</v>
      </c>
      <c r="AG1794">
        <f t="shared" si="54"/>
        <v>0</v>
      </c>
    </row>
    <row r="1795" spans="27:33" hidden="1" x14ac:dyDescent="0.25">
      <c r="AA1795" t="s">
        <v>1449</v>
      </c>
      <c r="AB1795" s="1" t="s">
        <v>3</v>
      </c>
      <c r="AC1795" s="1" t="s">
        <v>1</v>
      </c>
      <c r="AD1795" s="1" t="s">
        <v>12</v>
      </c>
      <c r="AE1795" s="1" t="s">
        <v>10</v>
      </c>
      <c r="AF1795" s="1" t="s">
        <v>1</v>
      </c>
      <c r="AG1795">
        <f t="shared" ref="AG1795:AG1858" si="55">IF(AND(Z1795&gt;0,Z1795&lt;7),AG1794+1,0)</f>
        <v>0</v>
      </c>
    </row>
    <row r="1796" spans="27:33" hidden="1" x14ac:dyDescent="0.25">
      <c r="AA1796" t="s">
        <v>130</v>
      </c>
      <c r="AB1796" s="1" t="s">
        <v>1</v>
      </c>
      <c r="AC1796" s="1" t="s">
        <v>2</v>
      </c>
      <c r="AD1796" s="1" t="s">
        <v>4</v>
      </c>
      <c r="AE1796" s="1" t="s">
        <v>8</v>
      </c>
      <c r="AF1796" s="1" t="s">
        <v>3</v>
      </c>
      <c r="AG1796">
        <f t="shared" si="55"/>
        <v>0</v>
      </c>
    </row>
    <row r="1797" spans="27:33" hidden="1" x14ac:dyDescent="0.25">
      <c r="AA1797" t="s">
        <v>849</v>
      </c>
      <c r="AB1797" s="1" t="s">
        <v>1917</v>
      </c>
      <c r="AC1797" s="1" t="s">
        <v>8</v>
      </c>
      <c r="AD1797" s="1" t="s">
        <v>10</v>
      </c>
      <c r="AE1797" s="1" t="s">
        <v>1915</v>
      </c>
      <c r="AF1797" s="1" t="s">
        <v>1</v>
      </c>
      <c r="AG1797">
        <f t="shared" si="55"/>
        <v>0</v>
      </c>
    </row>
    <row r="1798" spans="27:33" hidden="1" x14ac:dyDescent="0.25">
      <c r="AA1798" t="s">
        <v>1998</v>
      </c>
      <c r="AB1798" s="1" t="s">
        <v>5</v>
      </c>
      <c r="AC1798" s="1" t="s">
        <v>15</v>
      </c>
      <c r="AD1798" s="1" t="s">
        <v>1</v>
      </c>
      <c r="AE1798" s="1" t="s">
        <v>7</v>
      </c>
      <c r="AF1798" s="1" t="s">
        <v>1</v>
      </c>
      <c r="AG1798">
        <f t="shared" si="55"/>
        <v>0</v>
      </c>
    </row>
    <row r="1799" spans="27:33" hidden="1" x14ac:dyDescent="0.25">
      <c r="AA1799" t="s">
        <v>2265</v>
      </c>
      <c r="AB1799" s="1" t="s">
        <v>7</v>
      </c>
      <c r="AC1799" s="1" t="s">
        <v>10</v>
      </c>
      <c r="AD1799" s="1" t="s">
        <v>3</v>
      </c>
      <c r="AE1799" s="1" t="s">
        <v>5</v>
      </c>
      <c r="AF1799" s="1" t="s">
        <v>6</v>
      </c>
      <c r="AG1799">
        <f t="shared" si="55"/>
        <v>0</v>
      </c>
    </row>
    <row r="1800" spans="27:33" hidden="1" x14ac:dyDescent="0.25">
      <c r="AA1800" t="s">
        <v>334</v>
      </c>
      <c r="AB1800" s="1" t="s">
        <v>0</v>
      </c>
      <c r="AC1800" s="1" t="s">
        <v>1</v>
      </c>
      <c r="AD1800" s="1" t="s">
        <v>3</v>
      </c>
      <c r="AE1800" s="1" t="s">
        <v>3</v>
      </c>
      <c r="AF1800" s="1" t="s">
        <v>5</v>
      </c>
      <c r="AG1800">
        <f t="shared" si="55"/>
        <v>0</v>
      </c>
    </row>
    <row r="1801" spans="27:33" hidden="1" x14ac:dyDescent="0.25">
      <c r="AA1801" t="s">
        <v>2308</v>
      </c>
      <c r="AB1801" s="1" t="s">
        <v>2</v>
      </c>
      <c r="AC1801" s="1" t="s">
        <v>11</v>
      </c>
      <c r="AD1801" s="1" t="s">
        <v>1921</v>
      </c>
      <c r="AE1801" s="1" t="s">
        <v>8</v>
      </c>
      <c r="AF1801" s="1" t="s">
        <v>6</v>
      </c>
      <c r="AG1801">
        <f t="shared" si="55"/>
        <v>0</v>
      </c>
    </row>
    <row r="1802" spans="27:33" hidden="1" x14ac:dyDescent="0.25">
      <c r="AA1802" t="s">
        <v>1148</v>
      </c>
      <c r="AB1802" s="1" t="s">
        <v>6</v>
      </c>
      <c r="AC1802" s="1" t="s">
        <v>1</v>
      </c>
      <c r="AD1802" s="1" t="s">
        <v>3</v>
      </c>
      <c r="AE1802" s="1" t="s">
        <v>0</v>
      </c>
      <c r="AF1802" s="1" t="s">
        <v>5</v>
      </c>
      <c r="AG1802">
        <f t="shared" si="55"/>
        <v>0</v>
      </c>
    </row>
    <row r="1803" spans="27:33" hidden="1" x14ac:dyDescent="0.25">
      <c r="AA1803" t="s">
        <v>1805</v>
      </c>
      <c r="AB1803" s="1" t="s">
        <v>1919</v>
      </c>
      <c r="AC1803" s="1" t="s">
        <v>1</v>
      </c>
      <c r="AD1803" s="1" t="s">
        <v>0</v>
      </c>
      <c r="AE1803" s="1" t="s">
        <v>8</v>
      </c>
      <c r="AF1803" s="1" t="s">
        <v>1</v>
      </c>
      <c r="AG1803">
        <f t="shared" si="55"/>
        <v>0</v>
      </c>
    </row>
    <row r="1804" spans="27:33" hidden="1" x14ac:dyDescent="0.25">
      <c r="AA1804" t="s">
        <v>1301</v>
      </c>
      <c r="AB1804" s="1" t="s">
        <v>9</v>
      </c>
      <c r="AC1804" s="1" t="s">
        <v>11</v>
      </c>
      <c r="AD1804" s="1" t="s">
        <v>7</v>
      </c>
      <c r="AE1804" s="1" t="s">
        <v>11</v>
      </c>
      <c r="AF1804" s="1" t="s">
        <v>1</v>
      </c>
      <c r="AG1804">
        <f t="shared" si="55"/>
        <v>0</v>
      </c>
    </row>
    <row r="1805" spans="27:33" hidden="1" x14ac:dyDescent="0.25">
      <c r="AA1805" t="s">
        <v>1843</v>
      </c>
      <c r="AB1805" s="1" t="s">
        <v>1919</v>
      </c>
      <c r="AC1805" s="1" t="s">
        <v>10</v>
      </c>
      <c r="AD1805" s="1" t="s">
        <v>0</v>
      </c>
      <c r="AE1805" s="1" t="s">
        <v>10</v>
      </c>
      <c r="AF1805" s="1" t="s">
        <v>5</v>
      </c>
      <c r="AG1805">
        <f t="shared" si="55"/>
        <v>0</v>
      </c>
    </row>
    <row r="1806" spans="27:33" hidden="1" x14ac:dyDescent="0.25">
      <c r="AA1806" t="s">
        <v>1308</v>
      </c>
      <c r="AB1806" s="1" t="s">
        <v>9</v>
      </c>
      <c r="AC1806" s="1" t="s">
        <v>11</v>
      </c>
      <c r="AD1806" s="1" t="s">
        <v>1923</v>
      </c>
      <c r="AE1806" s="1" t="s">
        <v>8</v>
      </c>
      <c r="AF1806" s="1" t="s">
        <v>11</v>
      </c>
      <c r="AG1806">
        <f t="shared" si="55"/>
        <v>0</v>
      </c>
    </row>
    <row r="1807" spans="27:33" hidden="1" x14ac:dyDescent="0.25">
      <c r="AA1807" t="s">
        <v>1199</v>
      </c>
      <c r="AB1807" s="1" t="s">
        <v>5</v>
      </c>
      <c r="AC1807" s="1" t="s">
        <v>1914</v>
      </c>
      <c r="AD1807" s="1" t="s">
        <v>7</v>
      </c>
      <c r="AE1807" s="1" t="s">
        <v>11</v>
      </c>
      <c r="AF1807" s="1" t="s">
        <v>1</v>
      </c>
      <c r="AG1807">
        <f t="shared" si="55"/>
        <v>0</v>
      </c>
    </row>
    <row r="1808" spans="27:33" hidden="1" x14ac:dyDescent="0.25">
      <c r="AA1808" t="s">
        <v>252</v>
      </c>
      <c r="AB1808" s="1" t="s">
        <v>1914</v>
      </c>
      <c r="AC1808" s="1" t="s">
        <v>3</v>
      </c>
      <c r="AD1808" s="1" t="s">
        <v>10</v>
      </c>
      <c r="AE1808" s="1" t="s">
        <v>1915</v>
      </c>
      <c r="AF1808" s="1" t="s">
        <v>1</v>
      </c>
      <c r="AG1808">
        <f t="shared" si="55"/>
        <v>0</v>
      </c>
    </row>
    <row r="1809" spans="27:33" hidden="1" x14ac:dyDescent="0.25">
      <c r="AA1809" t="s">
        <v>983</v>
      </c>
      <c r="AB1809" s="1" t="s">
        <v>7</v>
      </c>
      <c r="AC1809" s="1" t="s">
        <v>7</v>
      </c>
      <c r="AD1809" s="1" t="s">
        <v>5</v>
      </c>
      <c r="AE1809" s="1" t="s">
        <v>3</v>
      </c>
      <c r="AF1809" s="1" t="s">
        <v>5</v>
      </c>
      <c r="AG1809">
        <f t="shared" si="55"/>
        <v>0</v>
      </c>
    </row>
    <row r="1810" spans="27:33" hidden="1" x14ac:dyDescent="0.25">
      <c r="AA1810" t="s">
        <v>1656</v>
      </c>
      <c r="AB1810" s="1" t="s">
        <v>4</v>
      </c>
      <c r="AC1810" s="1" t="s">
        <v>1</v>
      </c>
      <c r="AD1810" s="1" t="s">
        <v>6</v>
      </c>
      <c r="AE1810" s="1" t="s">
        <v>1915</v>
      </c>
      <c r="AF1810" s="1" t="s">
        <v>1</v>
      </c>
      <c r="AG1810">
        <f t="shared" si="55"/>
        <v>0</v>
      </c>
    </row>
    <row r="1811" spans="27:33" hidden="1" x14ac:dyDescent="0.25">
      <c r="AA1811" t="s">
        <v>1956</v>
      </c>
      <c r="AB1811" s="1" t="s">
        <v>1915</v>
      </c>
      <c r="AC1811" s="1" t="s">
        <v>8</v>
      </c>
      <c r="AD1811" s="1" t="s">
        <v>3</v>
      </c>
      <c r="AE1811" s="1" t="s">
        <v>5</v>
      </c>
      <c r="AF1811" s="1" t="s">
        <v>2</v>
      </c>
      <c r="AG1811">
        <f t="shared" si="55"/>
        <v>0</v>
      </c>
    </row>
    <row r="1812" spans="27:33" hidden="1" x14ac:dyDescent="0.25">
      <c r="AA1812" t="s">
        <v>621</v>
      </c>
      <c r="AB1812" s="1" t="s">
        <v>1920</v>
      </c>
      <c r="AC1812" s="1" t="s">
        <v>1</v>
      </c>
      <c r="AD1812" s="1" t="s">
        <v>3</v>
      </c>
      <c r="AE1812" s="1" t="s">
        <v>2</v>
      </c>
      <c r="AF1812" s="1" t="s">
        <v>1</v>
      </c>
      <c r="AG1812">
        <f t="shared" si="55"/>
        <v>0</v>
      </c>
    </row>
    <row r="1813" spans="27:33" hidden="1" x14ac:dyDescent="0.25">
      <c r="AA1813" t="s">
        <v>1292</v>
      </c>
      <c r="AB1813" s="1" t="s">
        <v>9</v>
      </c>
      <c r="AC1813" s="1" t="s">
        <v>11</v>
      </c>
      <c r="AD1813" s="1" t="s">
        <v>1</v>
      </c>
      <c r="AE1813" s="1" t="s">
        <v>6</v>
      </c>
      <c r="AF1813" s="1" t="s">
        <v>1</v>
      </c>
      <c r="AG1813">
        <f t="shared" si="55"/>
        <v>0</v>
      </c>
    </row>
    <row r="1814" spans="27:33" hidden="1" x14ac:dyDescent="0.25">
      <c r="AA1814" t="s">
        <v>674</v>
      </c>
      <c r="AB1814" s="1" t="s">
        <v>1920</v>
      </c>
      <c r="AC1814" s="1" t="s">
        <v>5</v>
      </c>
      <c r="AD1814" s="1" t="s">
        <v>0</v>
      </c>
      <c r="AE1814" s="1" t="s">
        <v>1</v>
      </c>
      <c r="AF1814" s="1" t="s">
        <v>7</v>
      </c>
      <c r="AG1814">
        <f t="shared" si="55"/>
        <v>0</v>
      </c>
    </row>
    <row r="1815" spans="27:33" hidden="1" x14ac:dyDescent="0.25">
      <c r="AA1815" t="s">
        <v>1328</v>
      </c>
      <c r="AB1815" s="1" t="s">
        <v>9</v>
      </c>
      <c r="AC1815" s="1" t="s">
        <v>10</v>
      </c>
      <c r="AD1815" s="1" t="s">
        <v>7</v>
      </c>
      <c r="AE1815" s="1" t="s">
        <v>1</v>
      </c>
      <c r="AF1815" s="1" t="s">
        <v>3</v>
      </c>
      <c r="AG1815">
        <f t="shared" si="55"/>
        <v>0</v>
      </c>
    </row>
    <row r="1816" spans="27:33" hidden="1" x14ac:dyDescent="0.25">
      <c r="AA1816" t="s">
        <v>236</v>
      </c>
      <c r="AB1816" s="1" t="s">
        <v>1914</v>
      </c>
      <c r="AC1816" s="1" t="s">
        <v>5</v>
      </c>
      <c r="AD1816" s="1" t="s">
        <v>3</v>
      </c>
      <c r="AE1816" s="1" t="s">
        <v>7</v>
      </c>
      <c r="AF1816" s="1" t="s">
        <v>1</v>
      </c>
      <c r="AG1816">
        <f t="shared" si="55"/>
        <v>0</v>
      </c>
    </row>
    <row r="1817" spans="27:33" hidden="1" x14ac:dyDescent="0.25">
      <c r="AA1817" t="s">
        <v>703</v>
      </c>
      <c r="AB1817" s="1" t="s">
        <v>1920</v>
      </c>
      <c r="AC1817" s="1" t="s">
        <v>8</v>
      </c>
      <c r="AD1817" s="1" t="s">
        <v>3</v>
      </c>
      <c r="AE1817" s="1" t="s">
        <v>5</v>
      </c>
      <c r="AF1817" s="1" t="s">
        <v>3</v>
      </c>
      <c r="AG1817">
        <f t="shared" si="55"/>
        <v>0</v>
      </c>
    </row>
    <row r="1818" spans="27:33" hidden="1" x14ac:dyDescent="0.25">
      <c r="AA1818" t="s">
        <v>801</v>
      </c>
      <c r="AB1818" s="1" t="s">
        <v>1917</v>
      </c>
      <c r="AC1818" s="1" t="s">
        <v>1</v>
      </c>
      <c r="AD1818" s="1" t="s">
        <v>0</v>
      </c>
      <c r="AE1818" s="1" t="s">
        <v>10</v>
      </c>
      <c r="AF1818" s="1" t="s">
        <v>1</v>
      </c>
      <c r="AG1818">
        <f t="shared" si="55"/>
        <v>0</v>
      </c>
    </row>
    <row r="1819" spans="27:33" hidden="1" x14ac:dyDescent="0.25">
      <c r="AA1819" t="s">
        <v>2097</v>
      </c>
      <c r="AB1819" s="1" t="s">
        <v>1914</v>
      </c>
      <c r="AC1819" s="1" t="s">
        <v>1</v>
      </c>
      <c r="AD1819" s="1" t="s">
        <v>4</v>
      </c>
      <c r="AE1819" s="1" t="s">
        <v>10</v>
      </c>
      <c r="AF1819" s="1" t="s">
        <v>6</v>
      </c>
      <c r="AG1819">
        <f t="shared" si="55"/>
        <v>0</v>
      </c>
    </row>
    <row r="1820" spans="27:33" hidden="1" x14ac:dyDescent="0.25">
      <c r="AA1820" t="s">
        <v>688</v>
      </c>
      <c r="AB1820" s="1" t="s">
        <v>1920</v>
      </c>
      <c r="AC1820" s="1" t="s">
        <v>3</v>
      </c>
      <c r="AD1820" s="1" t="s">
        <v>10</v>
      </c>
      <c r="AE1820" s="1" t="s">
        <v>2</v>
      </c>
      <c r="AF1820" s="1" t="s">
        <v>5</v>
      </c>
      <c r="AG1820">
        <f t="shared" si="55"/>
        <v>0</v>
      </c>
    </row>
    <row r="1821" spans="27:33" hidden="1" x14ac:dyDescent="0.25">
      <c r="AA1821" t="s">
        <v>473</v>
      </c>
      <c r="AB1821" s="1" t="s">
        <v>0</v>
      </c>
      <c r="AC1821" s="1" t="s">
        <v>3</v>
      </c>
      <c r="AD1821" s="1" t="s">
        <v>10</v>
      </c>
      <c r="AE1821" s="1" t="s">
        <v>1</v>
      </c>
      <c r="AF1821" s="1" t="s">
        <v>3</v>
      </c>
      <c r="AG1821">
        <f t="shared" si="55"/>
        <v>0</v>
      </c>
    </row>
    <row r="1822" spans="27:33" hidden="1" x14ac:dyDescent="0.25">
      <c r="AA1822" t="s">
        <v>846</v>
      </c>
      <c r="AB1822" s="1" t="s">
        <v>1917</v>
      </c>
      <c r="AC1822" s="1" t="s">
        <v>8</v>
      </c>
      <c r="AD1822" s="1" t="s">
        <v>11</v>
      </c>
      <c r="AE1822" s="1" t="s">
        <v>2</v>
      </c>
      <c r="AF1822" s="1" t="s">
        <v>5</v>
      </c>
      <c r="AG1822">
        <f t="shared" si="55"/>
        <v>0</v>
      </c>
    </row>
    <row r="1823" spans="27:33" hidden="1" x14ac:dyDescent="0.25">
      <c r="AA1823" t="s">
        <v>2083</v>
      </c>
      <c r="AB1823" s="1" t="s">
        <v>1914</v>
      </c>
      <c r="AC1823" s="1" t="s">
        <v>11</v>
      </c>
      <c r="AD1823" s="1" t="s">
        <v>7</v>
      </c>
      <c r="AE1823" s="1" t="s">
        <v>11</v>
      </c>
      <c r="AF1823" s="1" t="s">
        <v>6</v>
      </c>
      <c r="AG1823">
        <f t="shared" si="55"/>
        <v>0</v>
      </c>
    </row>
    <row r="1824" spans="27:33" hidden="1" x14ac:dyDescent="0.25">
      <c r="AA1824" t="s">
        <v>87</v>
      </c>
      <c r="AB1824" s="1" t="s">
        <v>1</v>
      </c>
      <c r="AC1824" s="1" t="s">
        <v>1916</v>
      </c>
      <c r="AD1824" s="1" t="s">
        <v>11</v>
      </c>
      <c r="AE1824" s="1" t="s">
        <v>15</v>
      </c>
      <c r="AF1824" s="1" t="s">
        <v>1</v>
      </c>
      <c r="AG1824">
        <f t="shared" si="55"/>
        <v>0</v>
      </c>
    </row>
    <row r="1825" spans="27:33" hidden="1" x14ac:dyDescent="0.25">
      <c r="AA1825" t="s">
        <v>286</v>
      </c>
      <c r="AB1825" s="1" t="s">
        <v>0</v>
      </c>
      <c r="AC1825" s="1" t="s">
        <v>1</v>
      </c>
      <c r="AD1825" s="1" t="s">
        <v>1914</v>
      </c>
      <c r="AE1825" s="1" t="s">
        <v>11</v>
      </c>
      <c r="AF1825" s="1" t="s">
        <v>3</v>
      </c>
      <c r="AG1825">
        <f t="shared" si="55"/>
        <v>0</v>
      </c>
    </row>
    <row r="1826" spans="27:33" hidden="1" x14ac:dyDescent="0.25">
      <c r="AA1826" t="s">
        <v>1144</v>
      </c>
      <c r="AB1826" s="1" t="s">
        <v>6</v>
      </c>
      <c r="AC1826" s="1" t="s">
        <v>1</v>
      </c>
      <c r="AD1826" s="1" t="s">
        <v>1920</v>
      </c>
      <c r="AE1826" s="1" t="s">
        <v>4</v>
      </c>
      <c r="AF1826" s="1" t="s">
        <v>1</v>
      </c>
      <c r="AG1826">
        <f t="shared" si="55"/>
        <v>0</v>
      </c>
    </row>
    <row r="1827" spans="27:33" hidden="1" x14ac:dyDescent="0.25">
      <c r="AA1827" t="s">
        <v>266</v>
      </c>
      <c r="AB1827" s="1" t="s">
        <v>1914</v>
      </c>
      <c r="AC1827" s="1" t="s">
        <v>8</v>
      </c>
      <c r="AD1827" s="1" t="s">
        <v>0</v>
      </c>
      <c r="AE1827" s="1" t="s">
        <v>7</v>
      </c>
      <c r="AF1827" s="1" t="s">
        <v>11</v>
      </c>
      <c r="AG1827">
        <f t="shared" si="55"/>
        <v>0</v>
      </c>
    </row>
    <row r="1828" spans="27:33" hidden="1" x14ac:dyDescent="0.25">
      <c r="AA1828" t="s">
        <v>177</v>
      </c>
      <c r="AB1828" s="1" t="s">
        <v>1914</v>
      </c>
      <c r="AC1828" s="1" t="s">
        <v>1</v>
      </c>
      <c r="AD1828" s="1" t="s">
        <v>3</v>
      </c>
      <c r="AE1828" s="1" t="s">
        <v>0</v>
      </c>
      <c r="AF1828" s="1" t="s">
        <v>1</v>
      </c>
      <c r="AG1828">
        <f t="shared" si="55"/>
        <v>0</v>
      </c>
    </row>
    <row r="1829" spans="27:33" hidden="1" x14ac:dyDescent="0.25">
      <c r="AA1829" t="s">
        <v>63</v>
      </c>
      <c r="AB1829" s="1" t="s">
        <v>1</v>
      </c>
      <c r="AC1829" s="1" t="s">
        <v>7</v>
      </c>
      <c r="AD1829" s="1" t="s">
        <v>10</v>
      </c>
      <c r="AE1829" s="1" t="s">
        <v>15</v>
      </c>
      <c r="AF1829" s="1" t="s">
        <v>5</v>
      </c>
      <c r="AG1829">
        <f t="shared" si="55"/>
        <v>0</v>
      </c>
    </row>
    <row r="1830" spans="27:33" hidden="1" x14ac:dyDescent="0.25">
      <c r="AA1830" t="s">
        <v>1311</v>
      </c>
      <c r="AB1830" s="1" t="s">
        <v>9</v>
      </c>
      <c r="AC1830" s="1" t="s">
        <v>11</v>
      </c>
      <c r="AD1830" s="1" t="s">
        <v>3</v>
      </c>
      <c r="AE1830" s="1" t="s">
        <v>7</v>
      </c>
      <c r="AF1830" s="1" t="s">
        <v>1</v>
      </c>
      <c r="AG1830">
        <f t="shared" si="55"/>
        <v>0</v>
      </c>
    </row>
    <row r="1831" spans="27:33" hidden="1" x14ac:dyDescent="0.25">
      <c r="AA1831" t="s">
        <v>1647</v>
      </c>
      <c r="AB1831" s="1" t="s">
        <v>4</v>
      </c>
      <c r="AC1831" s="1" t="s">
        <v>1</v>
      </c>
      <c r="AD1831" s="1" t="s">
        <v>15</v>
      </c>
      <c r="AE1831" s="1" t="s">
        <v>1</v>
      </c>
      <c r="AF1831" s="1" t="s">
        <v>3</v>
      </c>
      <c r="AG1831">
        <f t="shared" si="55"/>
        <v>0</v>
      </c>
    </row>
    <row r="1832" spans="27:33" hidden="1" x14ac:dyDescent="0.25">
      <c r="AA1832" t="s">
        <v>140</v>
      </c>
      <c r="AB1832" s="1" t="s">
        <v>1</v>
      </c>
      <c r="AC1832" s="1" t="s">
        <v>8</v>
      </c>
      <c r="AD1832" s="1" t="s">
        <v>6</v>
      </c>
      <c r="AE1832" s="1" t="s">
        <v>1</v>
      </c>
      <c r="AF1832" s="1" t="s">
        <v>3</v>
      </c>
      <c r="AG1832">
        <f t="shared" si="55"/>
        <v>0</v>
      </c>
    </row>
    <row r="1833" spans="27:33" hidden="1" x14ac:dyDescent="0.25">
      <c r="AA1833" t="s">
        <v>1832</v>
      </c>
      <c r="AB1833" s="1" t="s">
        <v>1919</v>
      </c>
      <c r="AC1833" s="1" t="s">
        <v>11</v>
      </c>
      <c r="AD1833" s="1" t="s">
        <v>6</v>
      </c>
      <c r="AE1833" s="1" t="s">
        <v>4</v>
      </c>
      <c r="AF1833" s="1" t="s">
        <v>1</v>
      </c>
      <c r="AG1833">
        <f t="shared" si="55"/>
        <v>0</v>
      </c>
    </row>
    <row r="1834" spans="27:33" hidden="1" x14ac:dyDescent="0.25">
      <c r="AA1834" t="s">
        <v>909</v>
      </c>
      <c r="AB1834" s="1" t="s">
        <v>14</v>
      </c>
      <c r="AC1834" s="1" t="s">
        <v>1</v>
      </c>
      <c r="AD1834" s="1" t="s">
        <v>1918</v>
      </c>
      <c r="AE1834" s="1" t="s">
        <v>1</v>
      </c>
      <c r="AF1834" s="1" t="s">
        <v>14</v>
      </c>
      <c r="AG1834">
        <f t="shared" si="55"/>
        <v>0</v>
      </c>
    </row>
    <row r="1835" spans="27:33" hidden="1" x14ac:dyDescent="0.25">
      <c r="AA1835" t="s">
        <v>2302</v>
      </c>
      <c r="AB1835" s="1" t="s">
        <v>1919</v>
      </c>
      <c r="AC1835" s="1" t="s">
        <v>11</v>
      </c>
      <c r="AD1835" s="1" t="s">
        <v>3</v>
      </c>
      <c r="AE1835" s="1" t="s">
        <v>13</v>
      </c>
      <c r="AF1835" s="1" t="s">
        <v>8</v>
      </c>
      <c r="AG1835">
        <f t="shared" si="55"/>
        <v>0</v>
      </c>
    </row>
    <row r="1836" spans="27:33" hidden="1" x14ac:dyDescent="0.25">
      <c r="AA1836" t="s">
        <v>213</v>
      </c>
      <c r="AB1836" s="1" t="s">
        <v>1914</v>
      </c>
      <c r="AC1836" s="1" t="s">
        <v>10</v>
      </c>
      <c r="AD1836" s="1" t="s">
        <v>2</v>
      </c>
      <c r="AE1836" s="1" t="s">
        <v>11</v>
      </c>
      <c r="AF1836" s="1" t="s">
        <v>7</v>
      </c>
      <c r="AG1836">
        <f t="shared" si="55"/>
        <v>0</v>
      </c>
    </row>
    <row r="1837" spans="27:33" hidden="1" x14ac:dyDescent="0.25">
      <c r="AA1837" t="s">
        <v>2274</v>
      </c>
      <c r="AB1837" s="1" t="s">
        <v>1</v>
      </c>
      <c r="AC1837" s="1" t="s">
        <v>13</v>
      </c>
      <c r="AD1837" s="1" t="s">
        <v>9</v>
      </c>
      <c r="AE1837" s="1" t="s">
        <v>5</v>
      </c>
      <c r="AF1837" s="1" t="s">
        <v>6</v>
      </c>
      <c r="AG1837">
        <f t="shared" si="55"/>
        <v>0</v>
      </c>
    </row>
    <row r="1838" spans="27:33" hidden="1" x14ac:dyDescent="0.25">
      <c r="AA1838" t="s">
        <v>690</v>
      </c>
      <c r="AB1838" s="1" t="s">
        <v>1920</v>
      </c>
      <c r="AC1838" s="1" t="s">
        <v>3</v>
      </c>
      <c r="AD1838" s="1" t="s">
        <v>10</v>
      </c>
      <c r="AE1838" s="1" t="s">
        <v>4</v>
      </c>
      <c r="AF1838" s="1" t="s">
        <v>5</v>
      </c>
      <c r="AG1838">
        <f t="shared" si="55"/>
        <v>0</v>
      </c>
    </row>
    <row r="1839" spans="27:33" hidden="1" x14ac:dyDescent="0.25">
      <c r="AA1839" t="s">
        <v>2243</v>
      </c>
      <c r="AB1839" s="1" t="s">
        <v>13</v>
      </c>
      <c r="AC1839" s="1" t="s">
        <v>5</v>
      </c>
      <c r="AD1839" s="1" t="s">
        <v>1915</v>
      </c>
      <c r="AE1839" s="1" t="s">
        <v>11</v>
      </c>
      <c r="AF1839" s="1" t="s">
        <v>13</v>
      </c>
      <c r="AG1839">
        <f t="shared" si="55"/>
        <v>0</v>
      </c>
    </row>
    <row r="1840" spans="27:33" hidden="1" x14ac:dyDescent="0.25">
      <c r="AA1840" t="s">
        <v>2170</v>
      </c>
      <c r="AB1840" s="1" t="s">
        <v>1919</v>
      </c>
      <c r="AC1840" s="1" t="s">
        <v>1</v>
      </c>
      <c r="AD1840" s="1" t="s">
        <v>10</v>
      </c>
      <c r="AE1840" s="1" t="s">
        <v>1915</v>
      </c>
      <c r="AF1840" s="1" t="s">
        <v>1</v>
      </c>
      <c r="AG1840">
        <f t="shared" si="55"/>
        <v>0</v>
      </c>
    </row>
    <row r="1841" spans="27:33" hidden="1" x14ac:dyDescent="0.25">
      <c r="AA1841" t="s">
        <v>814</v>
      </c>
      <c r="AB1841" s="1" t="s">
        <v>1917</v>
      </c>
      <c r="AC1841" s="1" t="s">
        <v>11</v>
      </c>
      <c r="AD1841" s="1" t="s">
        <v>7</v>
      </c>
      <c r="AE1841" s="1" t="s">
        <v>1</v>
      </c>
      <c r="AF1841" s="1" t="s">
        <v>3</v>
      </c>
      <c r="AG1841">
        <f t="shared" si="55"/>
        <v>0</v>
      </c>
    </row>
    <row r="1842" spans="27:33" hidden="1" x14ac:dyDescent="0.25">
      <c r="AA1842" t="s">
        <v>98</v>
      </c>
      <c r="AB1842" s="1" t="s">
        <v>1</v>
      </c>
      <c r="AC1842" s="1" t="s">
        <v>9</v>
      </c>
      <c r="AD1842" s="1" t="s">
        <v>1</v>
      </c>
      <c r="AE1842" s="1" t="s">
        <v>1916</v>
      </c>
      <c r="AF1842" s="1" t="s">
        <v>5</v>
      </c>
      <c r="AG1842">
        <f t="shared" si="55"/>
        <v>0</v>
      </c>
    </row>
    <row r="1843" spans="27:33" hidden="1" x14ac:dyDescent="0.25">
      <c r="AA1843" t="s">
        <v>1600</v>
      </c>
      <c r="AB1843" s="1" t="s">
        <v>2</v>
      </c>
      <c r="AC1843" s="1" t="s">
        <v>10</v>
      </c>
      <c r="AD1843" s="1" t="s">
        <v>2</v>
      </c>
      <c r="AE1843" s="1" t="s">
        <v>1</v>
      </c>
      <c r="AF1843" s="1" t="s">
        <v>3</v>
      </c>
      <c r="AG1843">
        <f t="shared" si="55"/>
        <v>0</v>
      </c>
    </row>
    <row r="1844" spans="27:33" hidden="1" x14ac:dyDescent="0.25">
      <c r="AA1844" t="s">
        <v>1731</v>
      </c>
      <c r="AB1844" s="1" t="s">
        <v>4</v>
      </c>
      <c r="AC1844" s="1" t="s">
        <v>5</v>
      </c>
      <c r="AD1844" s="1" t="s">
        <v>6</v>
      </c>
      <c r="AE1844" s="1" t="s">
        <v>4</v>
      </c>
      <c r="AF1844" s="1" t="s">
        <v>5</v>
      </c>
      <c r="AG1844">
        <f t="shared" si="55"/>
        <v>0</v>
      </c>
    </row>
    <row r="1845" spans="27:33" hidden="1" x14ac:dyDescent="0.25">
      <c r="AA1845" t="s">
        <v>2299</v>
      </c>
      <c r="AB1845" s="1" t="s">
        <v>1</v>
      </c>
      <c r="AC1845" s="1" t="s">
        <v>4</v>
      </c>
      <c r="AD1845" s="1" t="s">
        <v>1</v>
      </c>
      <c r="AE1845" s="1" t="s">
        <v>8</v>
      </c>
      <c r="AF1845" s="1" t="s">
        <v>1915</v>
      </c>
      <c r="AG1845">
        <f t="shared" si="55"/>
        <v>0</v>
      </c>
    </row>
    <row r="1846" spans="27:33" hidden="1" x14ac:dyDescent="0.25">
      <c r="AA1846" t="s">
        <v>772</v>
      </c>
      <c r="AB1846" s="1" t="s">
        <v>1921</v>
      </c>
      <c r="AC1846" s="1" t="s">
        <v>3</v>
      </c>
      <c r="AD1846" s="1" t="s">
        <v>10</v>
      </c>
      <c r="AE1846" s="1" t="s">
        <v>7</v>
      </c>
      <c r="AF1846" s="1" t="s">
        <v>7</v>
      </c>
      <c r="AG1846">
        <f t="shared" si="55"/>
        <v>0</v>
      </c>
    </row>
    <row r="1847" spans="27:33" hidden="1" x14ac:dyDescent="0.25">
      <c r="AA1847" t="s">
        <v>40</v>
      </c>
      <c r="AB1847" s="1" t="s">
        <v>1</v>
      </c>
      <c r="AC1847" s="1" t="s">
        <v>1921</v>
      </c>
      <c r="AD1847" s="1" t="s">
        <v>3</v>
      </c>
      <c r="AE1847" s="1" t="s">
        <v>10</v>
      </c>
      <c r="AF1847" s="1" t="s">
        <v>5</v>
      </c>
      <c r="AG1847">
        <f t="shared" si="55"/>
        <v>0</v>
      </c>
    </row>
    <row r="1848" spans="27:33" hidden="1" x14ac:dyDescent="0.25">
      <c r="AA1848" t="s">
        <v>687</v>
      </c>
      <c r="AB1848" s="1" t="s">
        <v>1920</v>
      </c>
      <c r="AC1848" s="1" t="s">
        <v>3</v>
      </c>
      <c r="AD1848" s="1" t="s">
        <v>10</v>
      </c>
      <c r="AE1848" s="1" t="s">
        <v>14</v>
      </c>
      <c r="AF1848" s="1" t="s">
        <v>10</v>
      </c>
      <c r="AG1848">
        <f t="shared" si="55"/>
        <v>0</v>
      </c>
    </row>
    <row r="1849" spans="27:33" hidden="1" x14ac:dyDescent="0.25">
      <c r="AA1849" t="s">
        <v>745</v>
      </c>
      <c r="AB1849" s="1" t="s">
        <v>1921</v>
      </c>
      <c r="AC1849" s="1" t="s">
        <v>5</v>
      </c>
      <c r="AD1849" s="1" t="s">
        <v>3</v>
      </c>
      <c r="AE1849" s="1" t="s">
        <v>1915</v>
      </c>
      <c r="AF1849" s="1" t="s">
        <v>1</v>
      </c>
      <c r="AG1849">
        <f t="shared" si="55"/>
        <v>0</v>
      </c>
    </row>
    <row r="1850" spans="27:33" hidden="1" x14ac:dyDescent="0.25">
      <c r="AA1850" t="s">
        <v>1822</v>
      </c>
      <c r="AB1850" s="1" t="s">
        <v>1919</v>
      </c>
      <c r="AC1850" s="1" t="s">
        <v>11</v>
      </c>
      <c r="AD1850" s="1" t="s">
        <v>1915</v>
      </c>
      <c r="AE1850" s="1" t="s">
        <v>1</v>
      </c>
      <c r="AF1850" s="1" t="s">
        <v>3</v>
      </c>
      <c r="AG1850">
        <f t="shared" si="55"/>
        <v>0</v>
      </c>
    </row>
    <row r="1851" spans="27:33" hidden="1" x14ac:dyDescent="0.25">
      <c r="AA1851" t="s">
        <v>1633</v>
      </c>
      <c r="AB1851" s="1" t="s">
        <v>2</v>
      </c>
      <c r="AC1851" s="1" t="s">
        <v>8</v>
      </c>
      <c r="AD1851" s="1" t="s">
        <v>11</v>
      </c>
      <c r="AE1851" s="1" t="s">
        <v>7</v>
      </c>
      <c r="AF1851" s="1" t="s">
        <v>5</v>
      </c>
      <c r="AG1851">
        <f t="shared" si="55"/>
        <v>0</v>
      </c>
    </row>
    <row r="1852" spans="27:33" hidden="1" x14ac:dyDescent="0.25">
      <c r="AA1852" t="s">
        <v>1877</v>
      </c>
      <c r="AB1852" s="1" t="s">
        <v>1919</v>
      </c>
      <c r="AC1852" s="1" t="s">
        <v>8</v>
      </c>
      <c r="AD1852" s="1" t="s">
        <v>7</v>
      </c>
      <c r="AE1852" s="1" t="s">
        <v>1921</v>
      </c>
      <c r="AF1852" s="1" t="s">
        <v>5</v>
      </c>
      <c r="AG1852">
        <f t="shared" si="55"/>
        <v>0</v>
      </c>
    </row>
    <row r="1853" spans="27:33" hidden="1" x14ac:dyDescent="0.25">
      <c r="AA1853" t="s">
        <v>942</v>
      </c>
      <c r="AB1853" s="1" t="s">
        <v>7</v>
      </c>
      <c r="AC1853" s="1" t="s">
        <v>11</v>
      </c>
      <c r="AD1853" s="1" t="s">
        <v>6</v>
      </c>
      <c r="AE1853" s="1" t="s">
        <v>4</v>
      </c>
      <c r="AF1853" s="1" t="s">
        <v>5</v>
      </c>
      <c r="AG1853">
        <f t="shared" si="55"/>
        <v>0</v>
      </c>
    </row>
    <row r="1854" spans="27:33" hidden="1" x14ac:dyDescent="0.25">
      <c r="AA1854" t="s">
        <v>1390</v>
      </c>
      <c r="AB1854" s="1" t="s">
        <v>9</v>
      </c>
      <c r="AC1854" s="1" t="s">
        <v>3</v>
      </c>
      <c r="AD1854" s="1" t="s">
        <v>11</v>
      </c>
      <c r="AE1854" s="1" t="s">
        <v>2</v>
      </c>
      <c r="AF1854" s="1" t="s">
        <v>1</v>
      </c>
      <c r="AG1854">
        <f t="shared" si="55"/>
        <v>0</v>
      </c>
    </row>
    <row r="1855" spans="27:33" hidden="1" x14ac:dyDescent="0.25">
      <c r="AA1855" t="s">
        <v>1443</v>
      </c>
      <c r="AB1855" s="1" t="s">
        <v>3</v>
      </c>
      <c r="AC1855" s="1" t="s">
        <v>1</v>
      </c>
      <c r="AD1855" s="1" t="s">
        <v>2</v>
      </c>
      <c r="AE1855" s="1" t="s">
        <v>9</v>
      </c>
      <c r="AF1855" s="1" t="s">
        <v>1</v>
      </c>
      <c r="AG1855">
        <f t="shared" si="55"/>
        <v>0</v>
      </c>
    </row>
    <row r="1856" spans="27:33" hidden="1" x14ac:dyDescent="0.25">
      <c r="AA1856" t="s">
        <v>1177</v>
      </c>
      <c r="AB1856" s="1" t="s">
        <v>1916</v>
      </c>
      <c r="AC1856" s="1" t="s">
        <v>5</v>
      </c>
      <c r="AD1856" s="1" t="s">
        <v>1916</v>
      </c>
      <c r="AE1856" s="1" t="s">
        <v>11</v>
      </c>
      <c r="AF1856" s="1" t="s">
        <v>12</v>
      </c>
      <c r="AG1856">
        <f t="shared" si="55"/>
        <v>0</v>
      </c>
    </row>
    <row r="1857" spans="27:33" hidden="1" x14ac:dyDescent="0.25">
      <c r="AA1857" t="s">
        <v>355</v>
      </c>
      <c r="AB1857" s="1" t="s">
        <v>0</v>
      </c>
      <c r="AC1857" s="1" t="s">
        <v>11</v>
      </c>
      <c r="AD1857" s="1" t="s">
        <v>1921</v>
      </c>
      <c r="AE1857" s="1" t="s">
        <v>1</v>
      </c>
      <c r="AF1857" s="1" t="s">
        <v>3</v>
      </c>
      <c r="AG1857">
        <f t="shared" si="55"/>
        <v>0</v>
      </c>
    </row>
    <row r="1858" spans="27:33" hidden="1" x14ac:dyDescent="0.25">
      <c r="AA1858" t="s">
        <v>994</v>
      </c>
      <c r="AB1858" s="1" t="s">
        <v>7</v>
      </c>
      <c r="AC1858" s="1" t="s">
        <v>8</v>
      </c>
      <c r="AD1858" s="1" t="s">
        <v>13</v>
      </c>
      <c r="AE1858" s="1" t="s">
        <v>11</v>
      </c>
      <c r="AF1858" s="1" t="s">
        <v>6</v>
      </c>
      <c r="AG1858">
        <f t="shared" si="55"/>
        <v>0</v>
      </c>
    </row>
    <row r="1859" spans="27:33" hidden="1" x14ac:dyDescent="0.25">
      <c r="AA1859" t="s">
        <v>2019</v>
      </c>
      <c r="AB1859" s="1" t="s">
        <v>1921</v>
      </c>
      <c r="AC1859" s="1" t="s">
        <v>1</v>
      </c>
      <c r="AD1859" s="1" t="s">
        <v>1916</v>
      </c>
      <c r="AE1859" s="1" t="s">
        <v>1</v>
      </c>
      <c r="AF1859" s="1" t="s">
        <v>6</v>
      </c>
      <c r="AG1859">
        <f t="shared" ref="AG1859:AG1922" si="56">IF(AND(Z1859&gt;0,Z1859&lt;7),AG1858+1,0)</f>
        <v>0</v>
      </c>
    </row>
    <row r="1860" spans="27:33" hidden="1" x14ac:dyDescent="0.25">
      <c r="AA1860" t="s">
        <v>1013</v>
      </c>
      <c r="AB1860" s="1" t="s">
        <v>13</v>
      </c>
      <c r="AC1860" s="1" t="s">
        <v>1</v>
      </c>
      <c r="AD1860" s="1" t="s">
        <v>7</v>
      </c>
      <c r="AE1860" s="1" t="s">
        <v>7</v>
      </c>
      <c r="AF1860" s="1" t="s">
        <v>1</v>
      </c>
      <c r="AG1860">
        <f t="shared" si="56"/>
        <v>0</v>
      </c>
    </row>
    <row r="1861" spans="27:33" hidden="1" x14ac:dyDescent="0.25">
      <c r="AA1861" t="s">
        <v>102</v>
      </c>
      <c r="AB1861" s="1" t="s">
        <v>1</v>
      </c>
      <c r="AC1861" s="1" t="s">
        <v>9</v>
      </c>
      <c r="AD1861" s="1" t="s">
        <v>6</v>
      </c>
      <c r="AE1861" s="1" t="s">
        <v>11</v>
      </c>
      <c r="AF1861" s="1" t="s">
        <v>1</v>
      </c>
      <c r="AG1861">
        <f t="shared" si="56"/>
        <v>0</v>
      </c>
    </row>
    <row r="1862" spans="27:33" hidden="1" x14ac:dyDescent="0.25">
      <c r="AA1862" t="s">
        <v>1056</v>
      </c>
      <c r="AB1862" s="1" t="s">
        <v>13</v>
      </c>
      <c r="AC1862" s="1" t="s">
        <v>11</v>
      </c>
      <c r="AD1862" s="1" t="s">
        <v>13</v>
      </c>
      <c r="AE1862" s="1" t="s">
        <v>11</v>
      </c>
      <c r="AF1862" s="1" t="s">
        <v>12</v>
      </c>
      <c r="AG1862">
        <f t="shared" si="56"/>
        <v>0</v>
      </c>
    </row>
    <row r="1863" spans="27:33" hidden="1" x14ac:dyDescent="0.25">
      <c r="AA1863" t="s">
        <v>859</v>
      </c>
      <c r="AB1863" s="1" t="s">
        <v>10</v>
      </c>
      <c r="AC1863" s="1" t="s">
        <v>1915</v>
      </c>
      <c r="AD1863" s="1" t="s">
        <v>11</v>
      </c>
      <c r="AE1863" s="1" t="s">
        <v>1</v>
      </c>
      <c r="AF1863" s="1" t="s">
        <v>3</v>
      </c>
      <c r="AG1863">
        <f t="shared" si="56"/>
        <v>0</v>
      </c>
    </row>
    <row r="1864" spans="27:33" hidden="1" x14ac:dyDescent="0.25">
      <c r="AA1864" t="s">
        <v>1953</v>
      </c>
      <c r="AB1864" s="1" t="s">
        <v>0</v>
      </c>
      <c r="AC1864" s="1" t="s">
        <v>10</v>
      </c>
      <c r="AD1864" s="1" t="s">
        <v>6</v>
      </c>
      <c r="AE1864" s="1" t="s">
        <v>11</v>
      </c>
      <c r="AF1864" s="1" t="s">
        <v>2</v>
      </c>
      <c r="AG1864">
        <f t="shared" si="56"/>
        <v>0</v>
      </c>
    </row>
    <row r="1865" spans="27:33" hidden="1" x14ac:dyDescent="0.25">
      <c r="AA1865" t="s">
        <v>738</v>
      </c>
      <c r="AB1865" s="1" t="s">
        <v>1921</v>
      </c>
      <c r="AC1865" s="1" t="s">
        <v>5</v>
      </c>
      <c r="AD1865" s="1" t="s">
        <v>0</v>
      </c>
      <c r="AE1865" s="1" t="s">
        <v>1917</v>
      </c>
      <c r="AF1865" s="1" t="s">
        <v>1</v>
      </c>
      <c r="AG1865">
        <f t="shared" si="56"/>
        <v>0</v>
      </c>
    </row>
    <row r="1866" spans="27:33" hidden="1" x14ac:dyDescent="0.25">
      <c r="AA1866" t="s">
        <v>1360</v>
      </c>
      <c r="AB1866" s="1" t="s">
        <v>9</v>
      </c>
      <c r="AC1866" s="1" t="s">
        <v>5</v>
      </c>
      <c r="AD1866" s="1" t="s">
        <v>0</v>
      </c>
      <c r="AE1866" s="1" t="s">
        <v>1917</v>
      </c>
      <c r="AF1866" s="1" t="s">
        <v>1</v>
      </c>
      <c r="AG1866">
        <f t="shared" si="56"/>
        <v>0</v>
      </c>
    </row>
    <row r="1867" spans="27:33" hidden="1" x14ac:dyDescent="0.25">
      <c r="AA1867" t="s">
        <v>1033</v>
      </c>
      <c r="AB1867" s="1" t="s">
        <v>13</v>
      </c>
      <c r="AC1867" s="1" t="s">
        <v>1</v>
      </c>
      <c r="AD1867" s="1" t="s">
        <v>3</v>
      </c>
      <c r="AE1867" s="1" t="s">
        <v>0</v>
      </c>
      <c r="AF1867" s="1" t="s">
        <v>5</v>
      </c>
      <c r="AG1867">
        <f t="shared" si="56"/>
        <v>0</v>
      </c>
    </row>
    <row r="1868" spans="27:33" hidden="1" x14ac:dyDescent="0.25">
      <c r="AA1868" t="s">
        <v>1082</v>
      </c>
      <c r="AB1868" s="1" t="s">
        <v>13</v>
      </c>
      <c r="AC1868" s="1" t="s">
        <v>10</v>
      </c>
      <c r="AD1868" s="1" t="s">
        <v>3</v>
      </c>
      <c r="AE1868" s="1" t="s">
        <v>3</v>
      </c>
      <c r="AF1868" s="1" t="s">
        <v>1</v>
      </c>
      <c r="AG1868">
        <f t="shared" si="56"/>
        <v>0</v>
      </c>
    </row>
    <row r="1869" spans="27:33" hidden="1" x14ac:dyDescent="0.25">
      <c r="AA1869" t="s">
        <v>152</v>
      </c>
      <c r="AB1869" s="1" t="s">
        <v>1</v>
      </c>
      <c r="AC1869" s="1" t="s">
        <v>12</v>
      </c>
      <c r="AD1869" s="1" t="s">
        <v>1</v>
      </c>
      <c r="AE1869" s="1" t="s">
        <v>1915</v>
      </c>
      <c r="AF1869" s="1" t="s">
        <v>1</v>
      </c>
      <c r="AG1869">
        <f t="shared" si="56"/>
        <v>0</v>
      </c>
    </row>
    <row r="1870" spans="27:33" hidden="1" x14ac:dyDescent="0.25">
      <c r="AA1870" t="s">
        <v>865</v>
      </c>
      <c r="AB1870" s="1" t="s">
        <v>10</v>
      </c>
      <c r="AC1870" s="1" t="s">
        <v>7</v>
      </c>
      <c r="AD1870" s="1" t="s">
        <v>8</v>
      </c>
      <c r="AE1870" s="1" t="s">
        <v>2</v>
      </c>
      <c r="AF1870" s="1" t="s">
        <v>5</v>
      </c>
      <c r="AG1870">
        <f t="shared" si="56"/>
        <v>0</v>
      </c>
    </row>
    <row r="1871" spans="27:33" hidden="1" x14ac:dyDescent="0.25">
      <c r="AA1871" t="s">
        <v>2067</v>
      </c>
      <c r="AB1871" s="1" t="s">
        <v>3</v>
      </c>
      <c r="AC1871" s="1" t="s">
        <v>11</v>
      </c>
      <c r="AD1871" s="1" t="s">
        <v>4</v>
      </c>
      <c r="AE1871" s="1" t="s">
        <v>11</v>
      </c>
      <c r="AF1871" s="1" t="s">
        <v>6</v>
      </c>
      <c r="AG1871">
        <f t="shared" si="56"/>
        <v>0</v>
      </c>
    </row>
    <row r="1872" spans="27:33" hidden="1" x14ac:dyDescent="0.25">
      <c r="AA1872" t="s">
        <v>369</v>
      </c>
      <c r="AB1872" s="1" t="s">
        <v>0</v>
      </c>
      <c r="AC1872" s="1" t="s">
        <v>11</v>
      </c>
      <c r="AD1872" s="1" t="s">
        <v>2</v>
      </c>
      <c r="AE1872" s="1" t="s">
        <v>10</v>
      </c>
      <c r="AF1872" s="1" t="s">
        <v>5</v>
      </c>
      <c r="AG1872">
        <f t="shared" si="56"/>
        <v>0</v>
      </c>
    </row>
    <row r="1873" spans="27:33" hidden="1" x14ac:dyDescent="0.25">
      <c r="AA1873" t="s">
        <v>1869</v>
      </c>
      <c r="AB1873" s="1" t="s">
        <v>1919</v>
      </c>
      <c r="AC1873" s="1" t="s">
        <v>5</v>
      </c>
      <c r="AD1873" s="1" t="s">
        <v>0</v>
      </c>
      <c r="AE1873" s="1" t="s">
        <v>11</v>
      </c>
      <c r="AF1873" s="1" t="s">
        <v>5</v>
      </c>
      <c r="AG1873">
        <f t="shared" si="56"/>
        <v>0</v>
      </c>
    </row>
    <row r="1874" spans="27:33" hidden="1" x14ac:dyDescent="0.25">
      <c r="AA1874" t="s">
        <v>1604</v>
      </c>
      <c r="AB1874" s="1" t="s">
        <v>2</v>
      </c>
      <c r="AC1874" s="1" t="s">
        <v>10</v>
      </c>
      <c r="AD1874" s="1" t="s">
        <v>4</v>
      </c>
      <c r="AE1874" s="1" t="s">
        <v>10</v>
      </c>
      <c r="AF1874" s="1" t="s">
        <v>5</v>
      </c>
      <c r="AG1874">
        <f t="shared" si="56"/>
        <v>0</v>
      </c>
    </row>
    <row r="1875" spans="27:33" hidden="1" x14ac:dyDescent="0.25">
      <c r="AA1875" t="s">
        <v>169</v>
      </c>
      <c r="AB1875" s="1" t="s">
        <v>1914</v>
      </c>
      <c r="AC1875" s="1" t="s">
        <v>1</v>
      </c>
      <c r="AD1875" s="1" t="s">
        <v>1916</v>
      </c>
      <c r="AE1875" s="1" t="s">
        <v>1</v>
      </c>
      <c r="AF1875" s="1" t="s">
        <v>3</v>
      </c>
      <c r="AG1875">
        <f t="shared" si="56"/>
        <v>0</v>
      </c>
    </row>
    <row r="1876" spans="27:33" hidden="1" x14ac:dyDescent="0.25">
      <c r="AA1876" t="s">
        <v>1769</v>
      </c>
      <c r="AB1876" s="1" t="s">
        <v>4</v>
      </c>
      <c r="AC1876" s="1" t="s">
        <v>3</v>
      </c>
      <c r="AD1876" s="1" t="s">
        <v>10</v>
      </c>
      <c r="AE1876" s="1" t="s">
        <v>12</v>
      </c>
      <c r="AF1876" s="1" t="s">
        <v>1</v>
      </c>
      <c r="AG1876">
        <f t="shared" si="56"/>
        <v>0</v>
      </c>
    </row>
    <row r="1877" spans="27:33" hidden="1" x14ac:dyDescent="0.25">
      <c r="AA1877" t="s">
        <v>583</v>
      </c>
      <c r="AB1877" s="1" t="s">
        <v>11</v>
      </c>
      <c r="AC1877" s="1" t="s">
        <v>6</v>
      </c>
      <c r="AD1877" s="1" t="s">
        <v>11</v>
      </c>
      <c r="AE1877" s="1" t="s">
        <v>13</v>
      </c>
      <c r="AF1877" s="1" t="s">
        <v>1</v>
      </c>
      <c r="AG1877">
        <f t="shared" si="56"/>
        <v>0</v>
      </c>
    </row>
    <row r="1878" spans="27:33" hidden="1" x14ac:dyDescent="0.25">
      <c r="AA1878" t="s">
        <v>2205</v>
      </c>
      <c r="AB1878" s="1" t="s">
        <v>9</v>
      </c>
      <c r="AC1878" s="1" t="s">
        <v>11</v>
      </c>
      <c r="AD1878" s="1" t="s">
        <v>1916</v>
      </c>
      <c r="AE1878" s="1" t="s">
        <v>5</v>
      </c>
      <c r="AF1878" s="1" t="s">
        <v>6</v>
      </c>
      <c r="AG1878">
        <f t="shared" si="56"/>
        <v>0</v>
      </c>
    </row>
    <row r="1879" spans="27:33" hidden="1" x14ac:dyDescent="0.25">
      <c r="AA1879" t="s">
        <v>1574</v>
      </c>
      <c r="AB1879" s="1" t="s">
        <v>2</v>
      </c>
      <c r="AC1879" s="1" t="s">
        <v>11</v>
      </c>
      <c r="AD1879" s="1" t="s">
        <v>9</v>
      </c>
      <c r="AE1879" s="1" t="s">
        <v>4</v>
      </c>
      <c r="AF1879" s="1" t="s">
        <v>5</v>
      </c>
      <c r="AG1879">
        <f t="shared" si="56"/>
        <v>0</v>
      </c>
    </row>
    <row r="1880" spans="27:33" hidden="1" x14ac:dyDescent="0.25">
      <c r="AA1880" t="s">
        <v>2312</v>
      </c>
      <c r="AB1880" s="1" t="s">
        <v>0</v>
      </c>
      <c r="AC1880" s="1" t="s">
        <v>5</v>
      </c>
      <c r="AD1880" s="1" t="s">
        <v>13</v>
      </c>
      <c r="AE1880" s="1" t="s">
        <v>8</v>
      </c>
      <c r="AF1880" s="1" t="s">
        <v>6</v>
      </c>
      <c r="AG1880">
        <f t="shared" si="56"/>
        <v>0</v>
      </c>
    </row>
    <row r="1881" spans="27:33" hidden="1" x14ac:dyDescent="0.25">
      <c r="AA1881" t="s">
        <v>1187</v>
      </c>
      <c r="AB1881" s="1" t="s">
        <v>6</v>
      </c>
      <c r="AC1881" s="1" t="s">
        <v>5</v>
      </c>
      <c r="AD1881" s="1" t="s">
        <v>1919</v>
      </c>
      <c r="AE1881" s="1" t="s">
        <v>10</v>
      </c>
      <c r="AF1881" s="1" t="s">
        <v>5</v>
      </c>
      <c r="AG1881">
        <f t="shared" si="56"/>
        <v>0</v>
      </c>
    </row>
    <row r="1882" spans="27:33" hidden="1" x14ac:dyDescent="0.25">
      <c r="AA1882" t="s">
        <v>2322</v>
      </c>
      <c r="AB1882" s="1" t="s">
        <v>0</v>
      </c>
      <c r="AC1882" s="1" t="s">
        <v>1</v>
      </c>
      <c r="AD1882" s="1" t="s">
        <v>1920</v>
      </c>
      <c r="AE1882" s="1" t="s">
        <v>11</v>
      </c>
      <c r="AF1882" s="1" t="s">
        <v>2</v>
      </c>
      <c r="AG1882">
        <f t="shared" si="56"/>
        <v>0</v>
      </c>
    </row>
    <row r="1883" spans="27:33" hidden="1" x14ac:dyDescent="0.25">
      <c r="AA1883" t="s">
        <v>259</v>
      </c>
      <c r="AB1883" s="1" t="s">
        <v>1914</v>
      </c>
      <c r="AC1883" s="1" t="s">
        <v>3</v>
      </c>
      <c r="AD1883" s="1" t="s">
        <v>8</v>
      </c>
      <c r="AE1883" s="1" t="s">
        <v>15</v>
      </c>
      <c r="AF1883" s="1" t="s">
        <v>5</v>
      </c>
      <c r="AG1883">
        <f t="shared" si="56"/>
        <v>0</v>
      </c>
    </row>
    <row r="1884" spans="27:33" hidden="1" x14ac:dyDescent="0.25">
      <c r="AA1884" t="s">
        <v>724</v>
      </c>
      <c r="AB1884" s="1" t="s">
        <v>1921</v>
      </c>
      <c r="AC1884" s="1" t="s">
        <v>1</v>
      </c>
      <c r="AD1884" s="1" t="s">
        <v>4</v>
      </c>
      <c r="AE1884" s="1" t="s">
        <v>1</v>
      </c>
      <c r="AF1884" s="1" t="s">
        <v>2</v>
      </c>
      <c r="AG1884">
        <f t="shared" si="56"/>
        <v>0</v>
      </c>
    </row>
    <row r="1885" spans="27:33" hidden="1" x14ac:dyDescent="0.25">
      <c r="AA1885" t="s">
        <v>1096</v>
      </c>
      <c r="AB1885" s="1" t="s">
        <v>13</v>
      </c>
      <c r="AC1885" s="1" t="s">
        <v>5</v>
      </c>
      <c r="AD1885" s="1" t="s">
        <v>1915</v>
      </c>
      <c r="AE1885" s="1" t="s">
        <v>1</v>
      </c>
      <c r="AF1885" s="1" t="s">
        <v>7</v>
      </c>
      <c r="AG1885">
        <f t="shared" si="56"/>
        <v>0</v>
      </c>
    </row>
    <row r="1886" spans="27:33" hidden="1" x14ac:dyDescent="0.25">
      <c r="AA1886" t="s">
        <v>619</v>
      </c>
      <c r="AB1886" s="1" t="s">
        <v>1920</v>
      </c>
      <c r="AC1886" s="1" t="s">
        <v>1</v>
      </c>
      <c r="AD1886" s="1" t="s">
        <v>3</v>
      </c>
      <c r="AE1886" s="1" t="s">
        <v>5</v>
      </c>
      <c r="AF1886" s="1" t="s">
        <v>7</v>
      </c>
      <c r="AG1886">
        <f t="shared" si="56"/>
        <v>0</v>
      </c>
    </row>
    <row r="1887" spans="27:33" hidden="1" x14ac:dyDescent="0.25">
      <c r="AA1887" t="s">
        <v>1377</v>
      </c>
      <c r="AB1887" s="1" t="s">
        <v>9</v>
      </c>
      <c r="AC1887" s="1" t="s">
        <v>5</v>
      </c>
      <c r="AD1887" s="1" t="s">
        <v>13</v>
      </c>
      <c r="AE1887" s="1" t="s">
        <v>9</v>
      </c>
      <c r="AF1887" s="1" t="s">
        <v>1</v>
      </c>
      <c r="AG1887">
        <f t="shared" si="56"/>
        <v>0</v>
      </c>
    </row>
    <row r="1888" spans="27:33" hidden="1" x14ac:dyDescent="0.25">
      <c r="AA1888" t="s">
        <v>2104</v>
      </c>
      <c r="AB1888" s="1" t="s">
        <v>10</v>
      </c>
      <c r="AC1888" s="1" t="s">
        <v>13</v>
      </c>
      <c r="AD1888" s="1" t="s">
        <v>9</v>
      </c>
      <c r="AE1888" s="1" t="s">
        <v>10</v>
      </c>
      <c r="AF1888" s="1" t="s">
        <v>1</v>
      </c>
      <c r="AG1888">
        <f t="shared" si="56"/>
        <v>0</v>
      </c>
    </row>
    <row r="1889" spans="27:33" hidden="1" x14ac:dyDescent="0.25">
      <c r="AA1889" t="s">
        <v>414</v>
      </c>
      <c r="AB1889" s="1" t="s">
        <v>0</v>
      </c>
      <c r="AC1889" s="1" t="s">
        <v>10</v>
      </c>
      <c r="AD1889" s="1" t="s">
        <v>2</v>
      </c>
      <c r="AE1889" s="1" t="s">
        <v>0</v>
      </c>
      <c r="AF1889" s="1" t="s">
        <v>5</v>
      </c>
      <c r="AG1889">
        <f t="shared" si="56"/>
        <v>0</v>
      </c>
    </row>
    <row r="1890" spans="27:33" hidden="1" x14ac:dyDescent="0.25">
      <c r="AA1890" t="s">
        <v>922</v>
      </c>
      <c r="AB1890" s="1" t="s">
        <v>7</v>
      </c>
      <c r="AC1890" s="1" t="s">
        <v>1</v>
      </c>
      <c r="AD1890" s="1" t="s">
        <v>10</v>
      </c>
      <c r="AE1890" s="1" t="s">
        <v>0</v>
      </c>
      <c r="AF1890" s="1" t="s">
        <v>5</v>
      </c>
      <c r="AG1890">
        <f t="shared" si="56"/>
        <v>0</v>
      </c>
    </row>
    <row r="1891" spans="27:33" hidden="1" x14ac:dyDescent="0.25">
      <c r="AA1891" t="s">
        <v>292</v>
      </c>
      <c r="AB1891" s="1" t="s">
        <v>0</v>
      </c>
      <c r="AC1891" s="1" t="s">
        <v>1</v>
      </c>
      <c r="AD1891" s="1" t="s">
        <v>1920</v>
      </c>
      <c r="AE1891" s="1" t="s">
        <v>3</v>
      </c>
      <c r="AF1891" s="1" t="s">
        <v>11</v>
      </c>
      <c r="AG1891">
        <f t="shared" si="56"/>
        <v>0</v>
      </c>
    </row>
    <row r="1892" spans="27:33" hidden="1" x14ac:dyDescent="0.25">
      <c r="AG1892">
        <f t="shared" si="56"/>
        <v>0</v>
      </c>
    </row>
    <row r="1893" spans="27:33" hidden="1" x14ac:dyDescent="0.25">
      <c r="AA1893" t="s">
        <v>466</v>
      </c>
      <c r="AB1893" s="1" t="s">
        <v>0</v>
      </c>
      <c r="AC1893" s="1" t="s">
        <v>3</v>
      </c>
      <c r="AD1893" s="1" t="s">
        <v>1</v>
      </c>
      <c r="AE1893" s="1" t="s">
        <v>2</v>
      </c>
      <c r="AF1893" s="1" t="s">
        <v>1917</v>
      </c>
      <c r="AG1893">
        <f t="shared" si="56"/>
        <v>0</v>
      </c>
    </row>
    <row r="1894" spans="27:33" hidden="1" x14ac:dyDescent="0.25">
      <c r="AA1894" t="s">
        <v>843</v>
      </c>
      <c r="AB1894" s="1" t="s">
        <v>1917</v>
      </c>
      <c r="AC1894" s="1" t="s">
        <v>8</v>
      </c>
      <c r="AD1894" s="1" t="s">
        <v>0</v>
      </c>
      <c r="AE1894" s="1" t="s">
        <v>1917</v>
      </c>
      <c r="AF1894" s="1" t="s">
        <v>1</v>
      </c>
      <c r="AG1894">
        <f t="shared" si="56"/>
        <v>0</v>
      </c>
    </row>
    <row r="1895" spans="27:33" hidden="1" x14ac:dyDescent="0.25">
      <c r="AA1895" t="s">
        <v>742</v>
      </c>
      <c r="AB1895" s="1" t="s">
        <v>1921</v>
      </c>
      <c r="AC1895" s="1" t="s">
        <v>5</v>
      </c>
      <c r="AD1895" s="1" t="s">
        <v>7</v>
      </c>
      <c r="AE1895" s="1" t="s">
        <v>1920</v>
      </c>
      <c r="AF1895" s="1" t="s">
        <v>1</v>
      </c>
      <c r="AG1895">
        <f t="shared" si="56"/>
        <v>0</v>
      </c>
    </row>
    <row r="1896" spans="27:33" hidden="1" x14ac:dyDescent="0.25">
      <c r="AA1896" t="s">
        <v>276</v>
      </c>
      <c r="AB1896" s="1" t="s">
        <v>1914</v>
      </c>
      <c r="AC1896" s="1" t="s">
        <v>8</v>
      </c>
      <c r="AD1896" s="1" t="s">
        <v>3</v>
      </c>
      <c r="AE1896" s="1" t="s">
        <v>1915</v>
      </c>
      <c r="AF1896" s="1" t="s">
        <v>5</v>
      </c>
      <c r="AG1896">
        <f t="shared" si="56"/>
        <v>0</v>
      </c>
    </row>
    <row r="1897" spans="27:33" hidden="1" x14ac:dyDescent="0.25">
      <c r="AA1897" t="s">
        <v>452</v>
      </c>
      <c r="AB1897" s="1" t="s">
        <v>0</v>
      </c>
      <c r="AC1897" s="1" t="s">
        <v>5</v>
      </c>
      <c r="AD1897" s="1" t="s">
        <v>3</v>
      </c>
      <c r="AE1897" s="1" t="s">
        <v>1</v>
      </c>
      <c r="AF1897" s="1" t="s">
        <v>7</v>
      </c>
      <c r="AG1897">
        <f t="shared" si="56"/>
        <v>0</v>
      </c>
    </row>
    <row r="1898" spans="27:33" hidden="1" x14ac:dyDescent="0.25">
      <c r="AA1898" t="s">
        <v>174</v>
      </c>
      <c r="AB1898" s="1" t="s">
        <v>1914</v>
      </c>
      <c r="AC1898" s="1" t="s">
        <v>1</v>
      </c>
      <c r="AD1898" s="1" t="s">
        <v>6</v>
      </c>
      <c r="AE1898" s="1" t="s">
        <v>1918</v>
      </c>
      <c r="AF1898" s="1" t="s">
        <v>5</v>
      </c>
      <c r="AG1898">
        <f t="shared" si="56"/>
        <v>0</v>
      </c>
    </row>
    <row r="1899" spans="27:33" hidden="1" x14ac:dyDescent="0.25">
      <c r="AA1899" t="s">
        <v>1309</v>
      </c>
      <c r="AB1899" s="1" t="s">
        <v>9</v>
      </c>
      <c r="AC1899" s="1" t="s">
        <v>11</v>
      </c>
      <c r="AD1899" s="1" t="s">
        <v>3</v>
      </c>
      <c r="AE1899" s="1" t="s">
        <v>1</v>
      </c>
      <c r="AF1899" s="1" t="s">
        <v>7</v>
      </c>
      <c r="AG1899">
        <f t="shared" si="56"/>
        <v>0</v>
      </c>
    </row>
    <row r="1900" spans="27:33" hidden="1" x14ac:dyDescent="0.25">
      <c r="AA1900" t="s">
        <v>201</v>
      </c>
      <c r="AB1900" s="1" t="s">
        <v>1914</v>
      </c>
      <c r="AC1900" s="1" t="s">
        <v>11</v>
      </c>
      <c r="AD1900" s="1" t="s">
        <v>5</v>
      </c>
      <c r="AE1900" s="1" t="s">
        <v>1915</v>
      </c>
      <c r="AF1900" s="1" t="s">
        <v>1</v>
      </c>
      <c r="AG1900">
        <f t="shared" si="56"/>
        <v>0</v>
      </c>
    </row>
    <row r="1901" spans="27:33" hidden="1" x14ac:dyDescent="0.25">
      <c r="AA1901" t="s">
        <v>1939</v>
      </c>
      <c r="AB1901" s="1" t="s">
        <v>9</v>
      </c>
      <c r="AC1901" s="1" t="s">
        <v>10</v>
      </c>
      <c r="AD1901" s="1" t="s">
        <v>6</v>
      </c>
      <c r="AE1901" s="1" t="s">
        <v>4</v>
      </c>
      <c r="AF1901" s="1" t="s">
        <v>11</v>
      </c>
      <c r="AG1901">
        <f t="shared" si="56"/>
        <v>0</v>
      </c>
    </row>
    <row r="1902" spans="27:33" hidden="1" x14ac:dyDescent="0.25">
      <c r="AA1902" t="s">
        <v>1032</v>
      </c>
      <c r="AB1902" s="1" t="s">
        <v>13</v>
      </c>
      <c r="AC1902" s="1" t="s">
        <v>1</v>
      </c>
      <c r="AD1902" s="1" t="s">
        <v>3</v>
      </c>
      <c r="AE1902" s="1" t="s">
        <v>0</v>
      </c>
      <c r="AF1902" s="1" t="s">
        <v>1</v>
      </c>
      <c r="AG1902">
        <f t="shared" si="56"/>
        <v>0</v>
      </c>
    </row>
    <row r="1903" spans="27:33" hidden="1" x14ac:dyDescent="0.25">
      <c r="AA1903" t="s">
        <v>1070</v>
      </c>
      <c r="AB1903" s="1" t="s">
        <v>13</v>
      </c>
      <c r="AC1903" s="1" t="s">
        <v>10</v>
      </c>
      <c r="AD1903" s="1" t="s">
        <v>1</v>
      </c>
      <c r="AE1903" s="1" t="s">
        <v>15</v>
      </c>
      <c r="AF1903" s="1" t="s">
        <v>1</v>
      </c>
      <c r="AG1903">
        <f t="shared" si="56"/>
        <v>0</v>
      </c>
    </row>
    <row r="1904" spans="27:33" hidden="1" x14ac:dyDescent="0.25">
      <c r="AA1904" t="s">
        <v>200</v>
      </c>
      <c r="AB1904" s="1" t="s">
        <v>1914</v>
      </c>
      <c r="AC1904" s="1" t="s">
        <v>11</v>
      </c>
      <c r="AD1904" s="1" t="s">
        <v>13</v>
      </c>
      <c r="AE1904" s="1" t="s">
        <v>5</v>
      </c>
      <c r="AF1904" s="1" t="s">
        <v>7</v>
      </c>
      <c r="AG1904">
        <f t="shared" si="56"/>
        <v>0</v>
      </c>
    </row>
    <row r="1905" spans="27:33" hidden="1" x14ac:dyDescent="0.25">
      <c r="AA1905" t="s">
        <v>35</v>
      </c>
      <c r="AB1905" s="1" t="s">
        <v>1</v>
      </c>
      <c r="AC1905" s="1" t="s">
        <v>1915</v>
      </c>
      <c r="AD1905" s="1" t="s">
        <v>5</v>
      </c>
      <c r="AE1905" s="1" t="s">
        <v>1914</v>
      </c>
      <c r="AF1905" s="1" t="s">
        <v>5</v>
      </c>
      <c r="AG1905">
        <f t="shared" si="56"/>
        <v>0</v>
      </c>
    </row>
    <row r="1906" spans="27:33" hidden="1" x14ac:dyDescent="0.25">
      <c r="AA1906" t="s">
        <v>1173</v>
      </c>
      <c r="AB1906" s="1" t="s">
        <v>6</v>
      </c>
      <c r="AC1906" s="1" t="s">
        <v>5</v>
      </c>
      <c r="AD1906" s="1" t="s">
        <v>1914</v>
      </c>
      <c r="AE1906" s="1" t="s">
        <v>11</v>
      </c>
      <c r="AF1906" s="1" t="s">
        <v>7</v>
      </c>
      <c r="AG1906">
        <f t="shared" si="56"/>
        <v>0</v>
      </c>
    </row>
    <row r="1907" spans="27:33" hidden="1" x14ac:dyDescent="0.25">
      <c r="AA1907" t="s">
        <v>1147</v>
      </c>
      <c r="AB1907" s="1" t="s">
        <v>6</v>
      </c>
      <c r="AC1907" s="1" t="s">
        <v>1</v>
      </c>
      <c r="AD1907" s="1" t="s">
        <v>9</v>
      </c>
      <c r="AE1907" s="1" t="s">
        <v>10</v>
      </c>
      <c r="AF1907" s="1" t="s">
        <v>1</v>
      </c>
      <c r="AG1907">
        <f t="shared" si="56"/>
        <v>0</v>
      </c>
    </row>
    <row r="1908" spans="27:33" hidden="1" x14ac:dyDescent="0.25">
      <c r="AA1908" t="s">
        <v>1654</v>
      </c>
      <c r="AB1908" s="1" t="s">
        <v>4</v>
      </c>
      <c r="AC1908" s="1" t="s">
        <v>1</v>
      </c>
      <c r="AD1908" s="1" t="s">
        <v>7</v>
      </c>
      <c r="AE1908" s="1" t="s">
        <v>8</v>
      </c>
      <c r="AF1908" s="1" t="s">
        <v>1915</v>
      </c>
      <c r="AG1908">
        <f t="shared" si="56"/>
        <v>0</v>
      </c>
    </row>
    <row r="1909" spans="27:33" hidden="1" x14ac:dyDescent="0.25">
      <c r="AA1909" t="s">
        <v>1511</v>
      </c>
      <c r="AB1909" s="1" t="s">
        <v>3</v>
      </c>
      <c r="AC1909" s="1" t="s">
        <v>8</v>
      </c>
      <c r="AD1909" s="1" t="s">
        <v>1914</v>
      </c>
      <c r="AE1909" s="1" t="s">
        <v>5</v>
      </c>
      <c r="AF1909" s="1" t="s">
        <v>3</v>
      </c>
      <c r="AG1909">
        <f t="shared" si="56"/>
        <v>0</v>
      </c>
    </row>
    <row r="1910" spans="27:33" hidden="1" x14ac:dyDescent="0.25">
      <c r="AA1910" t="s">
        <v>1868</v>
      </c>
      <c r="AB1910" s="1" t="s">
        <v>1919</v>
      </c>
      <c r="AC1910" s="1" t="s">
        <v>5</v>
      </c>
      <c r="AD1910" s="1" t="s">
        <v>0</v>
      </c>
      <c r="AE1910" s="1" t="s">
        <v>1</v>
      </c>
      <c r="AF1910" s="1" t="s">
        <v>7</v>
      </c>
      <c r="AG1910">
        <f t="shared" si="56"/>
        <v>0</v>
      </c>
    </row>
    <row r="1911" spans="27:33" hidden="1" x14ac:dyDescent="0.25">
      <c r="AA1911" t="s">
        <v>1295</v>
      </c>
      <c r="AB1911" s="1" t="s">
        <v>9</v>
      </c>
      <c r="AC1911" s="1" t="s">
        <v>11</v>
      </c>
      <c r="AD1911" s="1" t="s">
        <v>0</v>
      </c>
      <c r="AE1911" s="1" t="s">
        <v>10</v>
      </c>
      <c r="AF1911" s="1" t="s">
        <v>5</v>
      </c>
      <c r="AG1911">
        <f t="shared" si="56"/>
        <v>0</v>
      </c>
    </row>
    <row r="1912" spans="27:33" hidden="1" x14ac:dyDescent="0.25">
      <c r="AA1912" t="s">
        <v>2154</v>
      </c>
      <c r="AB1912" s="1" t="s">
        <v>1920</v>
      </c>
      <c r="AC1912" s="1" t="s">
        <v>3</v>
      </c>
      <c r="AD1912" s="1" t="s">
        <v>11</v>
      </c>
      <c r="AE1912" s="1" t="s">
        <v>10</v>
      </c>
      <c r="AF1912" s="1" t="s">
        <v>3</v>
      </c>
      <c r="AG1912">
        <f t="shared" si="56"/>
        <v>0</v>
      </c>
    </row>
    <row r="1913" spans="27:33" hidden="1" x14ac:dyDescent="0.25">
      <c r="AA1913" t="s">
        <v>2085</v>
      </c>
      <c r="AB1913" s="1" t="s">
        <v>2</v>
      </c>
      <c r="AC1913" s="1" t="s">
        <v>8</v>
      </c>
      <c r="AD1913" s="1" t="s">
        <v>1920</v>
      </c>
      <c r="AE1913" s="1" t="s">
        <v>7</v>
      </c>
      <c r="AF1913" s="1" t="s">
        <v>11</v>
      </c>
      <c r="AG1913">
        <f t="shared" si="56"/>
        <v>0</v>
      </c>
    </row>
    <row r="1914" spans="27:33" hidden="1" x14ac:dyDescent="0.25">
      <c r="AA1914" t="s">
        <v>2038</v>
      </c>
      <c r="AB1914" s="1" t="s">
        <v>1</v>
      </c>
      <c r="AC1914" s="1" t="s">
        <v>7</v>
      </c>
      <c r="AD1914" s="1" t="s">
        <v>1</v>
      </c>
      <c r="AE1914" s="1" t="s">
        <v>13</v>
      </c>
      <c r="AF1914" s="1" t="s">
        <v>5</v>
      </c>
      <c r="AG1914">
        <f t="shared" si="56"/>
        <v>0</v>
      </c>
    </row>
    <row r="1915" spans="27:33" hidden="1" x14ac:dyDescent="0.25">
      <c r="AA1915" t="s">
        <v>211</v>
      </c>
      <c r="AB1915" s="1" t="s">
        <v>1914</v>
      </c>
      <c r="AC1915" s="1" t="s">
        <v>10</v>
      </c>
      <c r="AD1915" s="1" t="s">
        <v>6</v>
      </c>
      <c r="AE1915" s="1" t="s">
        <v>1921</v>
      </c>
      <c r="AF1915" s="1" t="s">
        <v>5</v>
      </c>
      <c r="AG1915">
        <f t="shared" si="56"/>
        <v>0</v>
      </c>
    </row>
    <row r="1916" spans="27:33" hidden="1" x14ac:dyDescent="0.25">
      <c r="AA1916" t="s">
        <v>2295</v>
      </c>
      <c r="AB1916" s="1" t="s">
        <v>1921</v>
      </c>
      <c r="AC1916" s="1" t="s">
        <v>3</v>
      </c>
      <c r="AD1916" s="1" t="s">
        <v>10</v>
      </c>
      <c r="AE1916" s="1" t="s">
        <v>2</v>
      </c>
      <c r="AF1916" s="1" t="s">
        <v>8</v>
      </c>
      <c r="AG1916">
        <f t="shared" si="56"/>
        <v>0</v>
      </c>
    </row>
    <row r="1917" spans="27:33" hidden="1" x14ac:dyDescent="0.25">
      <c r="AA1917" t="s">
        <v>1526</v>
      </c>
      <c r="AB1917" s="1" t="s">
        <v>2</v>
      </c>
      <c r="AC1917" s="1" t="s">
        <v>1</v>
      </c>
      <c r="AD1917" s="1" t="s">
        <v>1914</v>
      </c>
      <c r="AE1917" s="1" t="s">
        <v>11</v>
      </c>
      <c r="AF1917" s="1" t="s">
        <v>3</v>
      </c>
      <c r="AG1917">
        <f t="shared" si="56"/>
        <v>0</v>
      </c>
    </row>
    <row r="1918" spans="27:33" hidden="1" x14ac:dyDescent="0.25">
      <c r="AA1918" t="s">
        <v>114</v>
      </c>
      <c r="AB1918" s="1" t="s">
        <v>1</v>
      </c>
      <c r="AC1918" s="1" t="s">
        <v>3</v>
      </c>
      <c r="AD1918" s="1" t="s">
        <v>1915</v>
      </c>
      <c r="AE1918" s="1" t="s">
        <v>8</v>
      </c>
      <c r="AF1918" s="1" t="s">
        <v>5</v>
      </c>
      <c r="AG1918">
        <f t="shared" si="56"/>
        <v>0</v>
      </c>
    </row>
    <row r="1919" spans="27:33" hidden="1" x14ac:dyDescent="0.25">
      <c r="AA1919" t="s">
        <v>1373</v>
      </c>
      <c r="AB1919" s="1" t="s">
        <v>9</v>
      </c>
      <c r="AC1919" s="1" t="s">
        <v>5</v>
      </c>
      <c r="AD1919" s="1" t="s">
        <v>7</v>
      </c>
      <c r="AE1919" s="1" t="s">
        <v>10</v>
      </c>
      <c r="AF1919" s="1" t="s">
        <v>2</v>
      </c>
      <c r="AG1919">
        <f t="shared" si="56"/>
        <v>0</v>
      </c>
    </row>
    <row r="1920" spans="27:33" hidden="1" x14ac:dyDescent="0.25">
      <c r="AA1920" t="s">
        <v>1053</v>
      </c>
      <c r="AB1920" s="1" t="s">
        <v>13</v>
      </c>
      <c r="AC1920" s="1" t="s">
        <v>11</v>
      </c>
      <c r="AD1920" s="1" t="s">
        <v>15</v>
      </c>
      <c r="AE1920" s="1" t="s">
        <v>5</v>
      </c>
      <c r="AF1920" s="1" t="s">
        <v>3</v>
      </c>
      <c r="AG1920">
        <f t="shared" si="56"/>
        <v>0</v>
      </c>
    </row>
    <row r="1921" spans="27:33" hidden="1" x14ac:dyDescent="0.25">
      <c r="AA1921" t="s">
        <v>1704</v>
      </c>
      <c r="AB1921" s="1" t="s">
        <v>4</v>
      </c>
      <c r="AC1921" s="1" t="s">
        <v>11</v>
      </c>
      <c r="AD1921" s="1" t="s">
        <v>2</v>
      </c>
      <c r="AE1921" s="1" t="s">
        <v>4</v>
      </c>
      <c r="AF1921" s="1" t="s">
        <v>1</v>
      </c>
      <c r="AG1921">
        <f t="shared" si="56"/>
        <v>0</v>
      </c>
    </row>
    <row r="1922" spans="27:33" hidden="1" x14ac:dyDescent="0.25">
      <c r="AA1922" t="s">
        <v>230</v>
      </c>
      <c r="AB1922" s="1" t="s">
        <v>1914</v>
      </c>
      <c r="AC1922" s="1" t="s">
        <v>5</v>
      </c>
      <c r="AD1922" s="1" t="s">
        <v>13</v>
      </c>
      <c r="AE1922" s="1" t="s">
        <v>1914</v>
      </c>
      <c r="AF1922" s="1" t="s">
        <v>5</v>
      </c>
      <c r="AG1922">
        <f t="shared" si="56"/>
        <v>0</v>
      </c>
    </row>
    <row r="1923" spans="27:33" hidden="1" x14ac:dyDescent="0.25">
      <c r="AA1923" t="s">
        <v>2203</v>
      </c>
      <c r="AB1923" s="1" t="s">
        <v>4</v>
      </c>
      <c r="AC1923" s="1" t="s">
        <v>1</v>
      </c>
      <c r="AD1923" s="1" t="s">
        <v>9</v>
      </c>
      <c r="AE1923" s="1" t="s">
        <v>5</v>
      </c>
      <c r="AF1923" s="1" t="s">
        <v>6</v>
      </c>
      <c r="AG1923">
        <f t="shared" ref="AG1923:AG1986" si="57">IF(AND(Z1923&gt;0,Z1923&lt;7),AG1922+1,0)</f>
        <v>0</v>
      </c>
    </row>
    <row r="1924" spans="27:33" hidden="1" x14ac:dyDescent="0.25">
      <c r="AA1924" t="s">
        <v>1996</v>
      </c>
      <c r="AB1924" s="1" t="s">
        <v>4</v>
      </c>
      <c r="AC1924" s="1" t="s">
        <v>8</v>
      </c>
      <c r="AD1924" s="1" t="s">
        <v>0</v>
      </c>
      <c r="AE1924" s="1" t="s">
        <v>1</v>
      </c>
      <c r="AF1924" s="1" t="s">
        <v>6</v>
      </c>
      <c r="AG1924">
        <f t="shared" si="57"/>
        <v>0</v>
      </c>
    </row>
    <row r="1925" spans="27:33" hidden="1" x14ac:dyDescent="0.25">
      <c r="AA1925" t="s">
        <v>16</v>
      </c>
      <c r="AB1925" s="1" t="s">
        <v>1</v>
      </c>
      <c r="AC1925" s="1" t="s">
        <v>1914</v>
      </c>
      <c r="AD1925" s="1" t="s">
        <v>1</v>
      </c>
      <c r="AE1925" s="1" t="s">
        <v>15</v>
      </c>
      <c r="AF1925" s="1" t="s">
        <v>5</v>
      </c>
      <c r="AG1925">
        <f t="shared" si="57"/>
        <v>0</v>
      </c>
    </row>
    <row r="1926" spans="27:33" hidden="1" x14ac:dyDescent="0.25">
      <c r="AA1926" t="s">
        <v>955</v>
      </c>
      <c r="AB1926" s="1" t="s">
        <v>7</v>
      </c>
      <c r="AC1926" s="1" t="s">
        <v>10</v>
      </c>
      <c r="AD1926" s="1" t="s">
        <v>0</v>
      </c>
      <c r="AE1926" s="1" t="s">
        <v>1917</v>
      </c>
      <c r="AF1926" s="1" t="s">
        <v>10</v>
      </c>
      <c r="AG1926">
        <f t="shared" si="57"/>
        <v>0</v>
      </c>
    </row>
    <row r="1927" spans="27:33" hidden="1" x14ac:dyDescent="0.25">
      <c r="AA1927" t="s">
        <v>987</v>
      </c>
      <c r="AB1927" s="1" t="s">
        <v>7</v>
      </c>
      <c r="AC1927" s="1" t="s">
        <v>5</v>
      </c>
      <c r="AD1927" s="1" t="s">
        <v>6</v>
      </c>
      <c r="AE1927" s="1" t="s">
        <v>15</v>
      </c>
      <c r="AF1927" s="1" t="s">
        <v>1</v>
      </c>
      <c r="AG1927">
        <f t="shared" si="57"/>
        <v>0</v>
      </c>
    </row>
    <row r="1928" spans="27:33" hidden="1" x14ac:dyDescent="0.25">
      <c r="AA1928" t="s">
        <v>887</v>
      </c>
      <c r="AB1928" s="1" t="s">
        <v>15</v>
      </c>
      <c r="AC1928" s="1" t="s">
        <v>1</v>
      </c>
      <c r="AD1928" s="1" t="s">
        <v>8</v>
      </c>
      <c r="AE1928" s="1" t="s">
        <v>7</v>
      </c>
      <c r="AF1928" s="1" t="s">
        <v>1</v>
      </c>
      <c r="AG1928">
        <f t="shared" si="57"/>
        <v>0</v>
      </c>
    </row>
    <row r="1929" spans="27:33" hidden="1" x14ac:dyDescent="0.25">
      <c r="AA1929" t="s">
        <v>1195</v>
      </c>
      <c r="AB1929" s="1" t="s">
        <v>6</v>
      </c>
      <c r="AC1929" s="1" t="s">
        <v>8</v>
      </c>
      <c r="AD1929" s="1" t="s">
        <v>6</v>
      </c>
      <c r="AE1929" s="1" t="s">
        <v>0</v>
      </c>
      <c r="AF1929" s="1" t="s">
        <v>1</v>
      </c>
      <c r="AG1929">
        <f t="shared" si="57"/>
        <v>0</v>
      </c>
    </row>
    <row r="1930" spans="27:33" hidden="1" x14ac:dyDescent="0.25">
      <c r="AA1930" t="s">
        <v>615</v>
      </c>
      <c r="AB1930" s="1" t="s">
        <v>1920</v>
      </c>
      <c r="AC1930" s="1" t="s">
        <v>1</v>
      </c>
      <c r="AD1930" s="1" t="s">
        <v>6</v>
      </c>
      <c r="AE1930" s="1" t="s">
        <v>1921</v>
      </c>
      <c r="AF1930" s="1" t="s">
        <v>5</v>
      </c>
      <c r="AG1930">
        <f t="shared" si="57"/>
        <v>0</v>
      </c>
    </row>
    <row r="1931" spans="27:33" hidden="1" x14ac:dyDescent="0.25">
      <c r="AA1931" t="s">
        <v>1792</v>
      </c>
      <c r="AB1931" s="1" t="s">
        <v>8</v>
      </c>
      <c r="AC1931" s="1" t="s">
        <v>1920</v>
      </c>
      <c r="AD1931" s="1" t="s">
        <v>1</v>
      </c>
      <c r="AE1931" s="1" t="s">
        <v>6</v>
      </c>
      <c r="AF1931" s="1" t="s">
        <v>5</v>
      </c>
      <c r="AG1931">
        <f t="shared" si="57"/>
        <v>0</v>
      </c>
    </row>
    <row r="1932" spans="27:33" hidden="1" x14ac:dyDescent="0.25">
      <c r="AA1932" t="s">
        <v>570</v>
      </c>
      <c r="AB1932" s="1" t="s">
        <v>1915</v>
      </c>
      <c r="AC1932" s="1" t="s">
        <v>8</v>
      </c>
      <c r="AD1932" s="1" t="s">
        <v>9</v>
      </c>
      <c r="AE1932" s="1" t="s">
        <v>7</v>
      </c>
      <c r="AF1932" s="1" t="s">
        <v>5</v>
      </c>
      <c r="AG1932">
        <f t="shared" si="57"/>
        <v>0</v>
      </c>
    </row>
    <row r="1933" spans="27:33" hidden="1" x14ac:dyDescent="0.25">
      <c r="AA1933" t="s">
        <v>861</v>
      </c>
      <c r="AB1933" s="1" t="s">
        <v>10</v>
      </c>
      <c r="AC1933" s="1" t="s">
        <v>15</v>
      </c>
      <c r="AD1933" s="1" t="s">
        <v>1</v>
      </c>
      <c r="AE1933" s="1" t="s">
        <v>1915</v>
      </c>
      <c r="AF1933" s="1" t="s">
        <v>1</v>
      </c>
      <c r="AG1933">
        <f t="shared" si="57"/>
        <v>0</v>
      </c>
    </row>
    <row r="1934" spans="27:33" hidden="1" x14ac:dyDescent="0.25">
      <c r="AA1934" t="s">
        <v>1087</v>
      </c>
      <c r="AB1934" s="1" t="s">
        <v>13</v>
      </c>
      <c r="AC1934" s="1" t="s">
        <v>10</v>
      </c>
      <c r="AD1934" s="1" t="s">
        <v>2</v>
      </c>
      <c r="AE1934" s="1" t="s">
        <v>13</v>
      </c>
      <c r="AF1934" s="1" t="s">
        <v>5</v>
      </c>
      <c r="AG1934">
        <f t="shared" si="57"/>
        <v>0</v>
      </c>
    </row>
    <row r="1935" spans="27:33" hidden="1" x14ac:dyDescent="0.25">
      <c r="AA1935" t="s">
        <v>1586</v>
      </c>
      <c r="AB1935" s="1" t="s">
        <v>2</v>
      </c>
      <c r="AC1935" s="1" t="s">
        <v>10</v>
      </c>
      <c r="AD1935" s="1" t="s">
        <v>11</v>
      </c>
      <c r="AE1935" s="1" t="s">
        <v>1921</v>
      </c>
      <c r="AF1935" s="1" t="s">
        <v>1</v>
      </c>
      <c r="AG1935">
        <f t="shared" si="57"/>
        <v>0</v>
      </c>
    </row>
    <row r="1936" spans="27:33" hidden="1" x14ac:dyDescent="0.25">
      <c r="AA1936" t="s">
        <v>1958</v>
      </c>
      <c r="AB1936" s="1" t="s">
        <v>1920</v>
      </c>
      <c r="AC1936" s="1" t="s">
        <v>10</v>
      </c>
      <c r="AD1936" s="1" t="s">
        <v>7</v>
      </c>
      <c r="AE1936" s="1" t="s">
        <v>1</v>
      </c>
      <c r="AF1936" s="1" t="s">
        <v>2</v>
      </c>
      <c r="AG1936">
        <f t="shared" si="57"/>
        <v>0</v>
      </c>
    </row>
    <row r="1937" spans="27:33" hidden="1" x14ac:dyDescent="0.25">
      <c r="AA1937" t="s">
        <v>1116</v>
      </c>
      <c r="AB1937" s="1" t="s">
        <v>13</v>
      </c>
      <c r="AC1937" s="1" t="s">
        <v>5</v>
      </c>
      <c r="AD1937" s="1" t="s">
        <v>4</v>
      </c>
      <c r="AE1937" s="1" t="s">
        <v>11</v>
      </c>
      <c r="AF1937" s="1" t="s">
        <v>7</v>
      </c>
      <c r="AG1937">
        <f t="shared" si="57"/>
        <v>0</v>
      </c>
    </row>
    <row r="1938" spans="27:33" hidden="1" x14ac:dyDescent="0.25">
      <c r="AA1938" t="s">
        <v>206</v>
      </c>
      <c r="AB1938" s="1" t="s">
        <v>1914</v>
      </c>
      <c r="AC1938" s="1" t="s">
        <v>10</v>
      </c>
      <c r="AD1938" s="1" t="s">
        <v>0</v>
      </c>
      <c r="AE1938" s="1" t="s">
        <v>1917</v>
      </c>
      <c r="AF1938" s="1" t="s">
        <v>1</v>
      </c>
      <c r="AG1938">
        <f t="shared" si="57"/>
        <v>0</v>
      </c>
    </row>
    <row r="1939" spans="27:33" hidden="1" x14ac:dyDescent="0.25">
      <c r="AA1939" t="s">
        <v>792</v>
      </c>
      <c r="AB1939" s="1" t="s">
        <v>1921</v>
      </c>
      <c r="AC1939" s="1" t="s">
        <v>8</v>
      </c>
      <c r="AD1939" s="1" t="s">
        <v>10</v>
      </c>
      <c r="AE1939" s="1" t="s">
        <v>2</v>
      </c>
      <c r="AF1939" s="1" t="s">
        <v>5</v>
      </c>
      <c r="AG1939">
        <f t="shared" si="57"/>
        <v>0</v>
      </c>
    </row>
    <row r="1940" spans="27:33" hidden="1" x14ac:dyDescent="0.25">
      <c r="AA1940" t="s">
        <v>372</v>
      </c>
      <c r="AB1940" s="1" t="s">
        <v>0</v>
      </c>
      <c r="AC1940" s="1" t="s">
        <v>11</v>
      </c>
      <c r="AD1940" s="1" t="s">
        <v>4</v>
      </c>
      <c r="AE1940" s="1" t="s">
        <v>3</v>
      </c>
      <c r="AF1940" s="1" t="s">
        <v>5</v>
      </c>
      <c r="AG1940">
        <f t="shared" si="57"/>
        <v>0</v>
      </c>
    </row>
    <row r="1941" spans="27:33" hidden="1" x14ac:dyDescent="0.25">
      <c r="AA1941" t="s">
        <v>1545</v>
      </c>
      <c r="AB1941" s="1" t="s">
        <v>2</v>
      </c>
      <c r="AC1941" s="1" t="s">
        <v>1</v>
      </c>
      <c r="AD1941" s="1" t="s">
        <v>7</v>
      </c>
      <c r="AE1941" s="1" t="s">
        <v>1919</v>
      </c>
      <c r="AF1941" s="1" t="s">
        <v>11</v>
      </c>
      <c r="AG1941">
        <f t="shared" si="57"/>
        <v>0</v>
      </c>
    </row>
    <row r="1942" spans="27:33" hidden="1" x14ac:dyDescent="0.25">
      <c r="AA1942" t="s">
        <v>2026</v>
      </c>
      <c r="AB1942" s="1" t="s">
        <v>1</v>
      </c>
      <c r="AC1942" s="1" t="s">
        <v>3</v>
      </c>
      <c r="AD1942" s="1" t="s">
        <v>1</v>
      </c>
      <c r="AE1942" s="1" t="s">
        <v>1914</v>
      </c>
      <c r="AF1942" s="1" t="s">
        <v>11</v>
      </c>
      <c r="AG1942">
        <f t="shared" si="57"/>
        <v>0</v>
      </c>
    </row>
    <row r="1943" spans="27:33" hidden="1" x14ac:dyDescent="0.25">
      <c r="AA1943" t="s">
        <v>1247</v>
      </c>
      <c r="AB1943" s="1" t="s">
        <v>9</v>
      </c>
      <c r="AC1943" s="1" t="s">
        <v>1</v>
      </c>
      <c r="AD1943" s="1" t="s">
        <v>0</v>
      </c>
      <c r="AE1943" s="1" t="s">
        <v>4</v>
      </c>
      <c r="AF1943" s="1" t="s">
        <v>5</v>
      </c>
      <c r="AG1943">
        <f t="shared" si="57"/>
        <v>0</v>
      </c>
    </row>
    <row r="1944" spans="27:33" hidden="1" x14ac:dyDescent="0.25">
      <c r="AA1944" t="s">
        <v>1882</v>
      </c>
      <c r="AB1944" s="1" t="s">
        <v>1918</v>
      </c>
      <c r="AC1944" s="1" t="s">
        <v>1</v>
      </c>
      <c r="AD1944" s="1" t="s">
        <v>3</v>
      </c>
      <c r="AE1944" s="1" t="s">
        <v>1915</v>
      </c>
      <c r="AF1944" s="1" t="s">
        <v>1</v>
      </c>
      <c r="AG1944">
        <f t="shared" si="57"/>
        <v>0</v>
      </c>
    </row>
    <row r="1945" spans="27:33" hidden="1" x14ac:dyDescent="0.25">
      <c r="AA1945" t="s">
        <v>1142</v>
      </c>
      <c r="AB1945" s="1" t="s">
        <v>6</v>
      </c>
      <c r="AC1945" s="1" t="s">
        <v>1</v>
      </c>
      <c r="AD1945" s="1" t="s">
        <v>1915</v>
      </c>
      <c r="AE1945" s="1" t="s">
        <v>1</v>
      </c>
      <c r="AF1945" s="1" t="s">
        <v>3</v>
      </c>
      <c r="AG1945">
        <f t="shared" si="57"/>
        <v>0</v>
      </c>
    </row>
    <row r="1946" spans="27:33" hidden="1" x14ac:dyDescent="0.25">
      <c r="AA1946" t="s">
        <v>1581</v>
      </c>
      <c r="AB1946" s="1" t="s">
        <v>2</v>
      </c>
      <c r="AC1946" s="1" t="s">
        <v>11</v>
      </c>
      <c r="AD1946" s="1" t="s">
        <v>1922</v>
      </c>
      <c r="AE1946" s="1" t="s">
        <v>1</v>
      </c>
      <c r="AF1946" s="1" t="s">
        <v>3</v>
      </c>
      <c r="AG1946">
        <f t="shared" si="57"/>
        <v>0</v>
      </c>
    </row>
    <row r="1947" spans="27:33" hidden="1" x14ac:dyDescent="0.25">
      <c r="AA1947" t="s">
        <v>2247</v>
      </c>
      <c r="AB1947" s="1" t="s">
        <v>9</v>
      </c>
      <c r="AC1947" s="1" t="s">
        <v>11</v>
      </c>
      <c r="AD1947" s="1" t="s">
        <v>12</v>
      </c>
      <c r="AE1947" s="1" t="s">
        <v>5</v>
      </c>
      <c r="AF1947" s="1" t="s">
        <v>6</v>
      </c>
      <c r="AG1947">
        <f t="shared" si="57"/>
        <v>0</v>
      </c>
    </row>
    <row r="1948" spans="27:33" hidden="1" x14ac:dyDescent="0.25">
      <c r="AA1948" t="s">
        <v>1675</v>
      </c>
      <c r="AB1948" s="1" t="s">
        <v>4</v>
      </c>
      <c r="AC1948" s="1" t="s">
        <v>1</v>
      </c>
      <c r="AD1948" s="1" t="s">
        <v>4</v>
      </c>
      <c r="AE1948" s="1" t="s">
        <v>1</v>
      </c>
      <c r="AF1948" s="1" t="s">
        <v>1918</v>
      </c>
      <c r="AG1948">
        <f t="shared" si="57"/>
        <v>0</v>
      </c>
    </row>
    <row r="1949" spans="27:33" hidden="1" x14ac:dyDescent="0.25">
      <c r="AA1949" t="s">
        <v>1907</v>
      </c>
      <c r="AB1949" s="1" t="s">
        <v>12</v>
      </c>
      <c r="AC1949" s="1" t="s">
        <v>5</v>
      </c>
      <c r="AD1949" s="1" t="s">
        <v>3</v>
      </c>
      <c r="AE1949" s="1" t="s">
        <v>3</v>
      </c>
      <c r="AF1949" s="1" t="s">
        <v>1</v>
      </c>
      <c r="AG1949">
        <f t="shared" si="57"/>
        <v>0</v>
      </c>
    </row>
    <row r="1950" spans="27:33" hidden="1" x14ac:dyDescent="0.25">
      <c r="AA1950" t="s">
        <v>845</v>
      </c>
      <c r="AB1950" s="1" t="s">
        <v>1917</v>
      </c>
      <c r="AC1950" s="1" t="s">
        <v>8</v>
      </c>
      <c r="AD1950" s="1" t="s">
        <v>11</v>
      </c>
      <c r="AE1950" s="1" t="s">
        <v>0</v>
      </c>
      <c r="AF1950" s="1" t="s">
        <v>5</v>
      </c>
      <c r="AG1950">
        <f t="shared" si="57"/>
        <v>0</v>
      </c>
    </row>
    <row r="1951" spans="27:33" hidden="1" x14ac:dyDescent="0.25">
      <c r="AA1951" t="s">
        <v>99</v>
      </c>
      <c r="AB1951" s="1" t="s">
        <v>1</v>
      </c>
      <c r="AC1951" s="1" t="s">
        <v>9</v>
      </c>
      <c r="AD1951" s="1" t="s">
        <v>11</v>
      </c>
      <c r="AE1951" s="1" t="s">
        <v>1</v>
      </c>
      <c r="AF1951" s="1" t="s">
        <v>3</v>
      </c>
      <c r="AG1951">
        <f t="shared" si="57"/>
        <v>0</v>
      </c>
    </row>
    <row r="1952" spans="27:33" hidden="1" x14ac:dyDescent="0.25">
      <c r="AA1952" t="s">
        <v>1161</v>
      </c>
      <c r="AB1952" s="1" t="s">
        <v>6</v>
      </c>
      <c r="AC1952" s="1" t="s">
        <v>10</v>
      </c>
      <c r="AD1952" s="1" t="s">
        <v>0</v>
      </c>
      <c r="AE1952" s="1" t="s">
        <v>1917</v>
      </c>
      <c r="AF1952" s="1" t="s">
        <v>5</v>
      </c>
      <c r="AG1952">
        <f t="shared" si="57"/>
        <v>0</v>
      </c>
    </row>
    <row r="1953" spans="27:33" hidden="1" x14ac:dyDescent="0.25">
      <c r="AA1953" t="s">
        <v>2241</v>
      </c>
      <c r="AB1953" s="1" t="s">
        <v>1</v>
      </c>
      <c r="AC1953" s="1" t="s">
        <v>3</v>
      </c>
      <c r="AD1953" s="1" t="s">
        <v>0</v>
      </c>
      <c r="AE1953" s="1" t="s">
        <v>5</v>
      </c>
      <c r="AF1953" s="1" t="s">
        <v>6</v>
      </c>
      <c r="AG1953">
        <f t="shared" si="57"/>
        <v>0</v>
      </c>
    </row>
    <row r="1954" spans="27:33" hidden="1" x14ac:dyDescent="0.25">
      <c r="AA1954" t="s">
        <v>2307</v>
      </c>
      <c r="AB1954" s="1" t="s">
        <v>1920</v>
      </c>
      <c r="AC1954" s="1" t="s">
        <v>11</v>
      </c>
      <c r="AD1954" s="1" t="s">
        <v>8</v>
      </c>
      <c r="AE1954" s="1" t="s">
        <v>0</v>
      </c>
      <c r="AF1954" s="1" t="s">
        <v>1</v>
      </c>
      <c r="AG1954">
        <f t="shared" si="57"/>
        <v>0</v>
      </c>
    </row>
    <row r="1955" spans="27:33" hidden="1" x14ac:dyDescent="0.25">
      <c r="AA1955" t="s">
        <v>1257</v>
      </c>
      <c r="AB1955" s="1" t="s">
        <v>9</v>
      </c>
      <c r="AC1955" s="1" t="s">
        <v>1</v>
      </c>
      <c r="AD1955" s="1" t="s">
        <v>1916</v>
      </c>
      <c r="AE1955" s="1" t="s">
        <v>1</v>
      </c>
      <c r="AF1955" s="1" t="s">
        <v>7</v>
      </c>
      <c r="AG1955">
        <f t="shared" si="57"/>
        <v>0</v>
      </c>
    </row>
    <row r="1956" spans="27:33" hidden="1" x14ac:dyDescent="0.25">
      <c r="AA1956" t="s">
        <v>1632</v>
      </c>
      <c r="AB1956" s="1" t="s">
        <v>2</v>
      </c>
      <c r="AC1956" s="1" t="s">
        <v>8</v>
      </c>
      <c r="AD1956" s="1" t="s">
        <v>11</v>
      </c>
      <c r="AE1956" s="1" t="s">
        <v>7</v>
      </c>
      <c r="AF1956" s="1" t="s">
        <v>1</v>
      </c>
      <c r="AG1956">
        <f t="shared" si="57"/>
        <v>0</v>
      </c>
    </row>
    <row r="1957" spans="27:33" hidden="1" x14ac:dyDescent="0.25">
      <c r="AA1957" t="s">
        <v>418</v>
      </c>
      <c r="AB1957" s="1" t="s">
        <v>0</v>
      </c>
      <c r="AC1957" s="1" t="s">
        <v>10</v>
      </c>
      <c r="AD1957" s="1" t="s">
        <v>1919</v>
      </c>
      <c r="AE1957" s="1" t="s">
        <v>10</v>
      </c>
      <c r="AF1957" s="1" t="s">
        <v>7</v>
      </c>
      <c r="AG1957">
        <f t="shared" si="57"/>
        <v>0</v>
      </c>
    </row>
    <row r="1958" spans="27:33" hidden="1" x14ac:dyDescent="0.25">
      <c r="AA1958" t="s">
        <v>1474</v>
      </c>
      <c r="AB1958" s="1" t="s">
        <v>3</v>
      </c>
      <c r="AC1958" s="1" t="s">
        <v>11</v>
      </c>
      <c r="AD1958" s="1" t="s">
        <v>4</v>
      </c>
      <c r="AE1958" s="1" t="s">
        <v>1</v>
      </c>
      <c r="AF1958" s="1" t="s">
        <v>7</v>
      </c>
      <c r="AG1958">
        <f t="shared" si="57"/>
        <v>0</v>
      </c>
    </row>
    <row r="1959" spans="27:33" hidden="1" x14ac:dyDescent="0.25">
      <c r="AA1959" t="s">
        <v>1250</v>
      </c>
      <c r="AB1959" s="1" t="s">
        <v>9</v>
      </c>
      <c r="AC1959" s="1" t="s">
        <v>1</v>
      </c>
      <c r="AD1959" s="1" t="s">
        <v>10</v>
      </c>
      <c r="AE1959" s="1" t="s">
        <v>3</v>
      </c>
      <c r="AF1959" s="1" t="s">
        <v>5</v>
      </c>
      <c r="AG1959">
        <f t="shared" si="57"/>
        <v>0</v>
      </c>
    </row>
    <row r="1960" spans="27:33" hidden="1" x14ac:dyDescent="0.25">
      <c r="AA1960" t="s">
        <v>566</v>
      </c>
      <c r="AB1960" s="1" t="s">
        <v>1915</v>
      </c>
      <c r="AC1960" s="1" t="s">
        <v>8</v>
      </c>
      <c r="AD1960" s="1" t="s">
        <v>11</v>
      </c>
      <c r="AE1960" s="1" t="s">
        <v>1916</v>
      </c>
      <c r="AF1960" s="1" t="s">
        <v>5</v>
      </c>
      <c r="AG1960">
        <f t="shared" si="57"/>
        <v>0</v>
      </c>
    </row>
    <row r="1961" spans="27:33" hidden="1" x14ac:dyDescent="0.25">
      <c r="AA1961" t="s">
        <v>524</v>
      </c>
      <c r="AB1961" s="1" t="s">
        <v>1915</v>
      </c>
      <c r="AC1961" s="1" t="s">
        <v>11</v>
      </c>
      <c r="AD1961" s="1" t="s">
        <v>3</v>
      </c>
      <c r="AE1961" s="1" t="s">
        <v>1914</v>
      </c>
      <c r="AF1961" s="1" t="s">
        <v>10</v>
      </c>
      <c r="AG1961">
        <f t="shared" si="57"/>
        <v>0</v>
      </c>
    </row>
    <row r="1962" spans="27:33" hidden="1" x14ac:dyDescent="0.25">
      <c r="AA1962" t="s">
        <v>2146</v>
      </c>
      <c r="AB1962" s="1" t="s">
        <v>10</v>
      </c>
      <c r="AC1962" s="1" t="s">
        <v>13</v>
      </c>
      <c r="AD1962" s="1" t="s">
        <v>9</v>
      </c>
      <c r="AE1962" s="1" t="s">
        <v>10</v>
      </c>
      <c r="AF1962" s="1" t="s">
        <v>5</v>
      </c>
      <c r="AG1962">
        <f t="shared" si="57"/>
        <v>0</v>
      </c>
    </row>
    <row r="1963" spans="27:33" hidden="1" x14ac:dyDescent="0.25">
      <c r="AA1963" t="s">
        <v>194</v>
      </c>
      <c r="AB1963" s="1" t="s">
        <v>1914</v>
      </c>
      <c r="AC1963" s="1" t="s">
        <v>11</v>
      </c>
      <c r="AD1963" s="1" t="s">
        <v>0</v>
      </c>
      <c r="AE1963" s="1" t="s">
        <v>1</v>
      </c>
      <c r="AF1963" s="1" t="s">
        <v>3</v>
      </c>
      <c r="AG1963">
        <f t="shared" si="57"/>
        <v>0</v>
      </c>
    </row>
    <row r="1964" spans="27:33" hidden="1" x14ac:dyDescent="0.25">
      <c r="AA1964" t="s">
        <v>612</v>
      </c>
      <c r="AB1964" s="1" t="s">
        <v>1920</v>
      </c>
      <c r="AC1964" s="1" t="s">
        <v>1</v>
      </c>
      <c r="AD1964" s="1" t="s">
        <v>7</v>
      </c>
      <c r="AE1964" s="1" t="s">
        <v>2</v>
      </c>
      <c r="AF1964" s="1" t="s">
        <v>1</v>
      </c>
      <c r="AG1964">
        <f t="shared" si="57"/>
        <v>0</v>
      </c>
    </row>
    <row r="1965" spans="27:33" hidden="1" x14ac:dyDescent="0.25">
      <c r="AA1965" t="s">
        <v>422</v>
      </c>
      <c r="AB1965" s="1" t="s">
        <v>0</v>
      </c>
      <c r="AC1965" s="1" t="s">
        <v>7</v>
      </c>
      <c r="AD1965" s="1" t="s">
        <v>1</v>
      </c>
      <c r="AE1965" s="1" t="s">
        <v>1919</v>
      </c>
      <c r="AF1965" s="1" t="s">
        <v>1</v>
      </c>
      <c r="AG1965">
        <f t="shared" si="57"/>
        <v>0</v>
      </c>
    </row>
    <row r="1966" spans="27:33" hidden="1" x14ac:dyDescent="0.25">
      <c r="AA1966" t="s">
        <v>1171</v>
      </c>
      <c r="AB1966" s="1" t="s">
        <v>6</v>
      </c>
      <c r="AC1966" s="1" t="s">
        <v>10</v>
      </c>
      <c r="AD1966" s="1" t="s">
        <v>4</v>
      </c>
      <c r="AE1966" s="1" t="s">
        <v>3</v>
      </c>
      <c r="AF1966" s="1" t="s">
        <v>5</v>
      </c>
      <c r="AG1966">
        <f t="shared" si="57"/>
        <v>0</v>
      </c>
    </row>
    <row r="1967" spans="27:33" hidden="1" x14ac:dyDescent="0.25">
      <c r="AA1967" t="s">
        <v>1892</v>
      </c>
      <c r="AB1967" s="1" t="s">
        <v>1918</v>
      </c>
      <c r="AC1967" s="1" t="s">
        <v>5</v>
      </c>
      <c r="AD1967" s="1" t="s">
        <v>1921</v>
      </c>
      <c r="AE1967" s="1" t="s">
        <v>8</v>
      </c>
      <c r="AF1967" s="1" t="s">
        <v>3</v>
      </c>
      <c r="AG1967">
        <f t="shared" si="57"/>
        <v>0</v>
      </c>
    </row>
    <row r="1968" spans="27:33" hidden="1" x14ac:dyDescent="0.25">
      <c r="AA1968" t="s">
        <v>1635</v>
      </c>
      <c r="AB1968" s="1" t="s">
        <v>2</v>
      </c>
      <c r="AC1968" s="1" t="s">
        <v>8</v>
      </c>
      <c r="AD1968" s="1" t="s">
        <v>11</v>
      </c>
      <c r="AE1968" s="1" t="s">
        <v>3</v>
      </c>
      <c r="AF1968" s="1" t="s">
        <v>5</v>
      </c>
      <c r="AG1968">
        <f t="shared" si="57"/>
        <v>0</v>
      </c>
    </row>
    <row r="1969" spans="27:33" hidden="1" x14ac:dyDescent="0.25">
      <c r="AA1969" t="s">
        <v>1809</v>
      </c>
      <c r="AB1969" s="1" t="s">
        <v>1919</v>
      </c>
      <c r="AC1969" s="1" t="s">
        <v>1</v>
      </c>
      <c r="AD1969" s="1" t="s">
        <v>7</v>
      </c>
      <c r="AE1969" s="1" t="s">
        <v>11</v>
      </c>
      <c r="AF1969" s="1" t="s">
        <v>3</v>
      </c>
      <c r="AG1969">
        <f t="shared" si="57"/>
        <v>0</v>
      </c>
    </row>
    <row r="1970" spans="27:33" hidden="1" x14ac:dyDescent="0.25">
      <c r="AA1970" t="s">
        <v>1990</v>
      </c>
      <c r="AB1970" s="1" t="s">
        <v>1921</v>
      </c>
      <c r="AC1970" s="1" t="s">
        <v>1</v>
      </c>
      <c r="AD1970" s="1" t="s">
        <v>1914</v>
      </c>
      <c r="AE1970" s="1" t="s">
        <v>1</v>
      </c>
      <c r="AF1970" s="1" t="s">
        <v>6</v>
      </c>
      <c r="AG1970">
        <f t="shared" si="57"/>
        <v>0</v>
      </c>
    </row>
    <row r="1971" spans="27:33" hidden="1" x14ac:dyDescent="0.25">
      <c r="AA1971" t="s">
        <v>575</v>
      </c>
      <c r="AB1971" s="1" t="s">
        <v>11</v>
      </c>
      <c r="AC1971" s="1" t="s">
        <v>0</v>
      </c>
      <c r="AD1971" s="1" t="s">
        <v>1917</v>
      </c>
      <c r="AE1971" s="1" t="s">
        <v>1</v>
      </c>
      <c r="AF1971" s="1" t="s">
        <v>3</v>
      </c>
      <c r="AG1971">
        <f t="shared" si="57"/>
        <v>0</v>
      </c>
    </row>
    <row r="1972" spans="27:33" hidden="1" x14ac:dyDescent="0.25">
      <c r="AA1972" t="s">
        <v>1972</v>
      </c>
      <c r="AB1972" s="1" t="s">
        <v>3</v>
      </c>
      <c r="AC1972" s="1" t="s">
        <v>1</v>
      </c>
      <c r="AD1972" s="1" t="s">
        <v>4</v>
      </c>
      <c r="AE1972" s="1" t="s">
        <v>5</v>
      </c>
      <c r="AF1972" s="1" t="s">
        <v>2</v>
      </c>
      <c r="AG1972">
        <f t="shared" si="57"/>
        <v>0</v>
      </c>
    </row>
    <row r="1973" spans="27:33" hidden="1" x14ac:dyDescent="0.25">
      <c r="AA1973" t="s">
        <v>1042</v>
      </c>
      <c r="AB1973" s="1" t="s">
        <v>13</v>
      </c>
      <c r="AC1973" s="1" t="s">
        <v>1</v>
      </c>
      <c r="AD1973" s="1" t="s">
        <v>8</v>
      </c>
      <c r="AE1973" s="1" t="s">
        <v>7</v>
      </c>
      <c r="AF1973" s="1" t="s">
        <v>1</v>
      </c>
      <c r="AG1973">
        <f t="shared" si="57"/>
        <v>0</v>
      </c>
    </row>
    <row r="1974" spans="27:33" hidden="1" x14ac:dyDescent="0.25">
      <c r="AA1974" t="s">
        <v>2043</v>
      </c>
      <c r="AB1974" s="1" t="s">
        <v>1</v>
      </c>
      <c r="AC1974" s="1" t="s">
        <v>4</v>
      </c>
      <c r="AD1974" s="1" t="s">
        <v>5</v>
      </c>
      <c r="AE1974" s="1" t="s">
        <v>6</v>
      </c>
      <c r="AF1974" s="1" t="s">
        <v>5</v>
      </c>
      <c r="AG1974">
        <f t="shared" si="57"/>
        <v>0</v>
      </c>
    </row>
    <row r="1975" spans="27:33" hidden="1" x14ac:dyDescent="0.25">
      <c r="AA1975" t="s">
        <v>1254</v>
      </c>
      <c r="AB1975" s="1" t="s">
        <v>9</v>
      </c>
      <c r="AC1975" s="1" t="s">
        <v>1</v>
      </c>
      <c r="AD1975" s="1" t="s">
        <v>7</v>
      </c>
      <c r="AE1975" s="1" t="s">
        <v>13</v>
      </c>
      <c r="AF1975" s="1" t="s">
        <v>1</v>
      </c>
      <c r="AG1975">
        <f t="shared" si="57"/>
        <v>0</v>
      </c>
    </row>
    <row r="1976" spans="27:33" hidden="1" x14ac:dyDescent="0.25">
      <c r="AA1976" t="s">
        <v>850</v>
      </c>
      <c r="AB1976" s="1" t="s">
        <v>1917</v>
      </c>
      <c r="AC1976" s="1" t="s">
        <v>8</v>
      </c>
      <c r="AD1976" s="1" t="s">
        <v>10</v>
      </c>
      <c r="AE1976" s="1" t="s">
        <v>1915</v>
      </c>
      <c r="AF1976" s="1" t="s">
        <v>5</v>
      </c>
      <c r="AG1976">
        <f t="shared" si="57"/>
        <v>0</v>
      </c>
    </row>
    <row r="1977" spans="27:33" hidden="1" x14ac:dyDescent="0.25">
      <c r="AA1977" t="s">
        <v>85</v>
      </c>
      <c r="AB1977" s="1" t="s">
        <v>1</v>
      </c>
      <c r="AC1977" s="1" t="s">
        <v>6</v>
      </c>
      <c r="AD1977" s="1" t="s">
        <v>1915</v>
      </c>
      <c r="AE1977" s="1" t="s">
        <v>1</v>
      </c>
      <c r="AF1977" s="1" t="s">
        <v>3</v>
      </c>
      <c r="AG1977">
        <f t="shared" si="57"/>
        <v>0</v>
      </c>
    </row>
    <row r="1978" spans="27:33" hidden="1" x14ac:dyDescent="0.25">
      <c r="AA1978" t="s">
        <v>705</v>
      </c>
      <c r="AB1978" s="1" t="s">
        <v>1920</v>
      </c>
      <c r="AC1978" s="1" t="s">
        <v>8</v>
      </c>
      <c r="AD1978" s="1" t="s">
        <v>2</v>
      </c>
      <c r="AE1978" s="1" t="s">
        <v>4</v>
      </c>
      <c r="AF1978" s="1" t="s">
        <v>1</v>
      </c>
      <c r="AG1978">
        <f t="shared" si="57"/>
        <v>0</v>
      </c>
    </row>
    <row r="1979" spans="27:33" hidden="1" x14ac:dyDescent="0.25">
      <c r="AA1979" t="s">
        <v>1012</v>
      </c>
      <c r="AB1979" s="1" t="s">
        <v>13</v>
      </c>
      <c r="AC1979" s="1" t="s">
        <v>1</v>
      </c>
      <c r="AD1979" s="1" t="s">
        <v>15</v>
      </c>
      <c r="AE1979" s="1" t="s">
        <v>1</v>
      </c>
      <c r="AF1979" s="1" t="s">
        <v>3</v>
      </c>
      <c r="AG1979">
        <f t="shared" si="57"/>
        <v>0</v>
      </c>
    </row>
    <row r="1980" spans="27:33" hidden="1" x14ac:dyDescent="0.25">
      <c r="AA1980" t="s">
        <v>1908</v>
      </c>
      <c r="AB1980" s="1" t="s">
        <v>12</v>
      </c>
      <c r="AC1980" s="1" t="s">
        <v>5</v>
      </c>
      <c r="AD1980" s="1" t="s">
        <v>3</v>
      </c>
      <c r="AE1980" s="1" t="s">
        <v>3</v>
      </c>
      <c r="AF1980" s="1" t="s">
        <v>5</v>
      </c>
      <c r="AG1980">
        <f t="shared" si="57"/>
        <v>0</v>
      </c>
    </row>
    <row r="1981" spans="27:33" hidden="1" x14ac:dyDescent="0.25">
      <c r="AA1981" t="s">
        <v>793</v>
      </c>
      <c r="AB1981" s="1" t="s">
        <v>1921</v>
      </c>
      <c r="AC1981" s="1" t="s">
        <v>8</v>
      </c>
      <c r="AD1981" s="1" t="s">
        <v>7</v>
      </c>
      <c r="AE1981" s="1" t="s">
        <v>1</v>
      </c>
      <c r="AF1981" s="1" t="s">
        <v>1921</v>
      </c>
      <c r="AG1981">
        <f t="shared" si="57"/>
        <v>0</v>
      </c>
    </row>
    <row r="1982" spans="27:33" hidden="1" x14ac:dyDescent="0.25">
      <c r="AA1982" t="s">
        <v>1530</v>
      </c>
      <c r="AB1982" s="1" t="s">
        <v>2</v>
      </c>
      <c r="AC1982" s="1" t="s">
        <v>1</v>
      </c>
      <c r="AD1982" s="1" t="s">
        <v>1914</v>
      </c>
      <c r="AE1982" s="1" t="s">
        <v>5</v>
      </c>
      <c r="AF1982" s="1" t="s">
        <v>3</v>
      </c>
      <c r="AG1982">
        <f t="shared" si="57"/>
        <v>0</v>
      </c>
    </row>
    <row r="1983" spans="27:33" hidden="1" x14ac:dyDescent="0.25">
      <c r="AA1983" t="s">
        <v>299</v>
      </c>
      <c r="AB1983" s="1" t="s">
        <v>0</v>
      </c>
      <c r="AC1983" s="1" t="s">
        <v>1</v>
      </c>
      <c r="AD1983" s="1" t="s">
        <v>7</v>
      </c>
      <c r="AE1983" s="1" t="s">
        <v>7</v>
      </c>
      <c r="AF1983" s="1" t="s">
        <v>11</v>
      </c>
      <c r="AG1983">
        <f t="shared" si="57"/>
        <v>0</v>
      </c>
    </row>
    <row r="1984" spans="27:33" hidden="1" x14ac:dyDescent="0.25">
      <c r="AA1984" t="s">
        <v>1275</v>
      </c>
      <c r="AB1984" s="1" t="s">
        <v>9</v>
      </c>
      <c r="AC1984" s="1" t="s">
        <v>1</v>
      </c>
      <c r="AD1984" s="1" t="s">
        <v>3</v>
      </c>
      <c r="AE1984" s="1" t="s">
        <v>14</v>
      </c>
      <c r="AF1984" s="1" t="s">
        <v>1</v>
      </c>
      <c r="AG1984">
        <f t="shared" si="57"/>
        <v>0</v>
      </c>
    </row>
    <row r="1985" spans="27:33" hidden="1" x14ac:dyDescent="0.25">
      <c r="AA1985" t="s">
        <v>484</v>
      </c>
      <c r="AB1985" s="1" t="s">
        <v>0</v>
      </c>
      <c r="AC1985" s="1" t="s">
        <v>8</v>
      </c>
      <c r="AD1985" s="1" t="s">
        <v>1</v>
      </c>
      <c r="AE1985" s="1" t="s">
        <v>15</v>
      </c>
      <c r="AF1985" s="1" t="s">
        <v>5</v>
      </c>
      <c r="AG1985">
        <f t="shared" si="57"/>
        <v>0</v>
      </c>
    </row>
    <row r="1986" spans="27:33" hidden="1" x14ac:dyDescent="0.25">
      <c r="AA1986" t="s">
        <v>660</v>
      </c>
      <c r="AB1986" s="1" t="s">
        <v>1920</v>
      </c>
      <c r="AC1986" s="1" t="s">
        <v>7</v>
      </c>
      <c r="AD1986" s="1" t="s">
        <v>11</v>
      </c>
      <c r="AE1986" s="1" t="s">
        <v>0</v>
      </c>
      <c r="AF1986" s="1" t="s">
        <v>5</v>
      </c>
      <c r="AG1986">
        <f t="shared" si="57"/>
        <v>0</v>
      </c>
    </row>
    <row r="1987" spans="27:33" hidden="1" x14ac:dyDescent="0.25">
      <c r="AA1987" t="s">
        <v>1478</v>
      </c>
      <c r="AB1987" s="1" t="s">
        <v>3</v>
      </c>
      <c r="AC1987" s="1" t="s">
        <v>10</v>
      </c>
      <c r="AD1987" s="1" t="s">
        <v>1</v>
      </c>
      <c r="AE1987" s="1" t="s">
        <v>1915</v>
      </c>
      <c r="AF1987" s="1" t="s">
        <v>1</v>
      </c>
      <c r="AG1987">
        <f t="shared" ref="AG1987:AG2050" si="58">IF(AND(Z1987&gt;0,Z1987&lt;7),AG1986+1,0)</f>
        <v>0</v>
      </c>
    </row>
    <row r="1988" spans="27:33" hidden="1" x14ac:dyDescent="0.25">
      <c r="AA1988" t="s">
        <v>1560</v>
      </c>
      <c r="AB1988" s="1" t="s">
        <v>2</v>
      </c>
      <c r="AC1988" s="1" t="s">
        <v>11</v>
      </c>
      <c r="AD1988" s="1" t="s">
        <v>0</v>
      </c>
      <c r="AE1988" s="1" t="s">
        <v>4</v>
      </c>
      <c r="AF1988" s="1" t="s">
        <v>1</v>
      </c>
      <c r="AG1988">
        <f t="shared" si="58"/>
        <v>0</v>
      </c>
    </row>
    <row r="1989" spans="27:33" hidden="1" x14ac:dyDescent="0.25">
      <c r="AA1989" t="s">
        <v>533</v>
      </c>
      <c r="AB1989" s="1" t="s">
        <v>1915</v>
      </c>
      <c r="AC1989" s="1" t="s">
        <v>10</v>
      </c>
      <c r="AD1989" s="1" t="s">
        <v>1921</v>
      </c>
      <c r="AE1989" s="1" t="s">
        <v>6</v>
      </c>
      <c r="AF1989" s="1" t="s">
        <v>5</v>
      </c>
      <c r="AG1989">
        <f t="shared" si="58"/>
        <v>0</v>
      </c>
    </row>
    <row r="1990" spans="27:33" hidden="1" x14ac:dyDescent="0.25">
      <c r="AA1990" t="s">
        <v>1361</v>
      </c>
      <c r="AB1990" s="1" t="s">
        <v>9</v>
      </c>
      <c r="AC1990" s="1" t="s">
        <v>5</v>
      </c>
      <c r="AD1990" s="1" t="s">
        <v>0</v>
      </c>
      <c r="AE1990" s="1" t="s">
        <v>1917</v>
      </c>
      <c r="AF1990" s="1" t="s">
        <v>5</v>
      </c>
      <c r="AG1990">
        <f t="shared" si="58"/>
        <v>0</v>
      </c>
    </row>
    <row r="1991" spans="27:33" hidden="1" x14ac:dyDescent="0.25">
      <c r="AA1991" t="s">
        <v>877</v>
      </c>
      <c r="AB1991" s="1" t="s">
        <v>15</v>
      </c>
      <c r="AC1991" s="1" t="s">
        <v>1</v>
      </c>
      <c r="AD1991" s="1" t="s">
        <v>7</v>
      </c>
      <c r="AE1991" s="1" t="s">
        <v>1</v>
      </c>
      <c r="AF1991" s="1" t="s">
        <v>3</v>
      </c>
      <c r="AG1991">
        <f t="shared" si="58"/>
        <v>0</v>
      </c>
    </row>
    <row r="1992" spans="27:33" hidden="1" x14ac:dyDescent="0.25">
      <c r="AA1992" t="s">
        <v>1169</v>
      </c>
      <c r="AB1992" s="1" t="s">
        <v>6</v>
      </c>
      <c r="AC1992" s="1" t="s">
        <v>10</v>
      </c>
      <c r="AD1992" s="1" t="s">
        <v>6</v>
      </c>
      <c r="AE1992" s="1" t="s">
        <v>15</v>
      </c>
      <c r="AF1992" s="1" t="s">
        <v>1</v>
      </c>
      <c r="AG1992">
        <f t="shared" si="58"/>
        <v>0</v>
      </c>
    </row>
    <row r="1993" spans="27:33" hidden="1" x14ac:dyDescent="0.25">
      <c r="AA1993" t="s">
        <v>2033</v>
      </c>
      <c r="AB1993" s="1" t="s">
        <v>1</v>
      </c>
      <c r="AC1993" s="1" t="s">
        <v>6</v>
      </c>
      <c r="AD1993" s="1" t="s">
        <v>5</v>
      </c>
      <c r="AE1993" s="1" t="s">
        <v>1915</v>
      </c>
      <c r="AF1993" s="1" t="s">
        <v>5</v>
      </c>
      <c r="AG1993">
        <f t="shared" si="58"/>
        <v>0</v>
      </c>
    </row>
    <row r="1994" spans="27:33" hidden="1" x14ac:dyDescent="0.25">
      <c r="AA1994" t="s">
        <v>1011</v>
      </c>
      <c r="AB1994" s="1" t="s">
        <v>13</v>
      </c>
      <c r="AC1994" s="1" t="s">
        <v>1</v>
      </c>
      <c r="AD1994" s="1" t="s">
        <v>1921</v>
      </c>
      <c r="AE1994" s="1" t="s">
        <v>3</v>
      </c>
      <c r="AF1994" s="1" t="s">
        <v>5</v>
      </c>
      <c r="AG1994">
        <f t="shared" si="58"/>
        <v>0</v>
      </c>
    </row>
    <row r="1995" spans="27:33" hidden="1" x14ac:dyDescent="0.25">
      <c r="AA1995" t="s">
        <v>888</v>
      </c>
      <c r="AB1995" s="1" t="s">
        <v>15</v>
      </c>
      <c r="AC1995" s="1" t="s">
        <v>11</v>
      </c>
      <c r="AD1995" s="1" t="s">
        <v>1923</v>
      </c>
      <c r="AE1995" s="1" t="s">
        <v>8</v>
      </c>
      <c r="AF1995" s="1" t="s">
        <v>11</v>
      </c>
      <c r="AG1995">
        <f t="shared" si="58"/>
        <v>0</v>
      </c>
    </row>
    <row r="1996" spans="27:33" hidden="1" x14ac:dyDescent="0.25">
      <c r="AA1996" t="s">
        <v>1987</v>
      </c>
      <c r="AB1996" s="1" t="s">
        <v>1</v>
      </c>
      <c r="AC1996" s="1" t="s">
        <v>1919</v>
      </c>
      <c r="AD1996" s="1" t="s">
        <v>10</v>
      </c>
      <c r="AE1996" s="1" t="s">
        <v>1915</v>
      </c>
      <c r="AF1996" s="1" t="s">
        <v>1</v>
      </c>
      <c r="AG1996">
        <f t="shared" si="58"/>
        <v>0</v>
      </c>
    </row>
    <row r="1997" spans="27:33" hidden="1" x14ac:dyDescent="0.25">
      <c r="AA1997" t="s">
        <v>2219</v>
      </c>
      <c r="AB1997" s="1" t="s">
        <v>15</v>
      </c>
      <c r="AC1997" s="1" t="s">
        <v>1</v>
      </c>
      <c r="AD1997" s="1" t="s">
        <v>13</v>
      </c>
      <c r="AE1997" s="1" t="s">
        <v>5</v>
      </c>
      <c r="AF1997" s="1" t="s">
        <v>6</v>
      </c>
      <c r="AG1997">
        <f t="shared" si="58"/>
        <v>0</v>
      </c>
    </row>
    <row r="1998" spans="27:33" hidden="1" x14ac:dyDescent="0.25">
      <c r="AA1998" t="s">
        <v>2266</v>
      </c>
      <c r="AB1998" s="1" t="s">
        <v>13</v>
      </c>
      <c r="AC1998" s="1" t="s">
        <v>11</v>
      </c>
      <c r="AD1998" s="1" t="s">
        <v>7</v>
      </c>
      <c r="AE1998" s="1" t="s">
        <v>5</v>
      </c>
      <c r="AF1998" s="1" t="s">
        <v>6</v>
      </c>
      <c r="AG1998">
        <f t="shared" si="58"/>
        <v>0</v>
      </c>
    </row>
    <row r="1999" spans="27:33" hidden="1" x14ac:dyDescent="0.25">
      <c r="AA1999" t="s">
        <v>1583</v>
      </c>
      <c r="AB1999" s="1" t="s">
        <v>2</v>
      </c>
      <c r="AC1999" s="1" t="s">
        <v>11</v>
      </c>
      <c r="AD1999" s="1" t="s">
        <v>1922</v>
      </c>
      <c r="AE1999" s="1" t="s">
        <v>4</v>
      </c>
      <c r="AF1999" s="1" t="s">
        <v>5</v>
      </c>
      <c r="AG1999">
        <f t="shared" si="58"/>
        <v>0</v>
      </c>
    </row>
    <row r="2000" spans="27:33" hidden="1" x14ac:dyDescent="0.25">
      <c r="AA2000" t="s">
        <v>1081</v>
      </c>
      <c r="AB2000" s="1" t="s">
        <v>13</v>
      </c>
      <c r="AC2000" s="1" t="s">
        <v>10</v>
      </c>
      <c r="AD2000" s="1" t="s">
        <v>3</v>
      </c>
      <c r="AE2000" s="1" t="s">
        <v>7</v>
      </c>
      <c r="AF2000" s="1" t="s">
        <v>5</v>
      </c>
      <c r="AG2000">
        <f t="shared" si="58"/>
        <v>0</v>
      </c>
    </row>
    <row r="2001" spans="27:33" hidden="1" x14ac:dyDescent="0.25">
      <c r="AA2001" t="s">
        <v>220</v>
      </c>
      <c r="AB2001" s="1" t="s">
        <v>1914</v>
      </c>
      <c r="AC2001" s="1" t="s">
        <v>5</v>
      </c>
      <c r="AD2001" s="1" t="s">
        <v>0</v>
      </c>
      <c r="AE2001" s="1" t="s">
        <v>1</v>
      </c>
      <c r="AF2001" s="1" t="s">
        <v>2</v>
      </c>
      <c r="AG2001">
        <f t="shared" si="58"/>
        <v>0</v>
      </c>
    </row>
    <row r="2002" spans="27:33" hidden="1" x14ac:dyDescent="0.25">
      <c r="AA2002" t="s">
        <v>614</v>
      </c>
      <c r="AB2002" s="1" t="s">
        <v>1920</v>
      </c>
      <c r="AC2002" s="1" t="s">
        <v>1</v>
      </c>
      <c r="AD2002" s="1" t="s">
        <v>7</v>
      </c>
      <c r="AE2002" s="1" t="s">
        <v>4</v>
      </c>
      <c r="AF2002" s="1" t="s">
        <v>5</v>
      </c>
      <c r="AG2002">
        <f t="shared" si="58"/>
        <v>0</v>
      </c>
    </row>
    <row r="2003" spans="27:33" hidden="1" x14ac:dyDescent="0.25">
      <c r="AA2003" t="s">
        <v>2193</v>
      </c>
      <c r="AB2003" s="1" t="s">
        <v>13</v>
      </c>
      <c r="AC2003" s="1" t="s">
        <v>5</v>
      </c>
      <c r="AD2003" s="1" t="s">
        <v>7</v>
      </c>
      <c r="AE2003" s="1" t="s">
        <v>5</v>
      </c>
      <c r="AF2003" s="1" t="s">
        <v>6</v>
      </c>
      <c r="AG2003">
        <f t="shared" si="58"/>
        <v>0</v>
      </c>
    </row>
    <row r="2004" spans="27:33" hidden="1" x14ac:dyDescent="0.25">
      <c r="AA2004" t="s">
        <v>821</v>
      </c>
      <c r="AB2004" s="1" t="s">
        <v>1917</v>
      </c>
      <c r="AC2004" s="1" t="s">
        <v>10</v>
      </c>
      <c r="AD2004" s="1" t="s">
        <v>11</v>
      </c>
      <c r="AE2004" s="1" t="s">
        <v>6</v>
      </c>
      <c r="AF2004" s="1" t="s">
        <v>1</v>
      </c>
      <c r="AG2004">
        <f t="shared" si="58"/>
        <v>0</v>
      </c>
    </row>
    <row r="2005" spans="27:33" hidden="1" x14ac:dyDescent="0.25">
      <c r="AA2005" t="s">
        <v>195</v>
      </c>
      <c r="AB2005" s="1" t="s">
        <v>1914</v>
      </c>
      <c r="AC2005" s="1" t="s">
        <v>11</v>
      </c>
      <c r="AD2005" s="1" t="s">
        <v>1915</v>
      </c>
      <c r="AE2005" s="1" t="s">
        <v>11</v>
      </c>
      <c r="AF2005" s="1" t="s">
        <v>7</v>
      </c>
      <c r="AG2005">
        <f t="shared" si="58"/>
        <v>0</v>
      </c>
    </row>
    <row r="2006" spans="27:33" hidden="1" x14ac:dyDescent="0.25">
      <c r="AA2006" t="s">
        <v>1988</v>
      </c>
      <c r="AB2006" s="1" t="s">
        <v>1</v>
      </c>
      <c r="AC2006" s="1" t="s">
        <v>0</v>
      </c>
      <c r="AD2006" s="1" t="s">
        <v>1</v>
      </c>
      <c r="AE2006" s="1" t="s">
        <v>3</v>
      </c>
      <c r="AF2006" s="1" t="s">
        <v>5</v>
      </c>
      <c r="AG2006">
        <f t="shared" si="58"/>
        <v>0</v>
      </c>
    </row>
    <row r="2007" spans="27:33" hidden="1" x14ac:dyDescent="0.25">
      <c r="AA2007" t="s">
        <v>48</v>
      </c>
      <c r="AB2007" s="1" t="s">
        <v>1</v>
      </c>
      <c r="AC2007" s="1" t="s">
        <v>15</v>
      </c>
      <c r="AD2007" s="1" t="s">
        <v>1</v>
      </c>
      <c r="AE2007" s="1" t="s">
        <v>1915</v>
      </c>
      <c r="AF2007" s="1" t="s">
        <v>5</v>
      </c>
      <c r="AG2007">
        <f t="shared" si="58"/>
        <v>0</v>
      </c>
    </row>
    <row r="2008" spans="27:33" hidden="1" x14ac:dyDescent="0.25">
      <c r="AA2008" t="s">
        <v>267</v>
      </c>
      <c r="AB2008" s="1" t="s">
        <v>1914</v>
      </c>
      <c r="AC2008" s="1" t="s">
        <v>8</v>
      </c>
      <c r="AD2008" s="1" t="s">
        <v>11</v>
      </c>
      <c r="AE2008" s="1" t="s">
        <v>6</v>
      </c>
      <c r="AF2008" s="1" t="s">
        <v>1</v>
      </c>
      <c r="AG2008">
        <f t="shared" si="58"/>
        <v>0</v>
      </c>
    </row>
    <row r="2009" spans="27:33" hidden="1" x14ac:dyDescent="0.25">
      <c r="AA2009" t="s">
        <v>1844</v>
      </c>
      <c r="AB2009" s="1" t="s">
        <v>1919</v>
      </c>
      <c r="AC2009" s="1" t="s">
        <v>10</v>
      </c>
      <c r="AD2009" s="1" t="s">
        <v>1915</v>
      </c>
      <c r="AE2009" s="1" t="s">
        <v>10</v>
      </c>
      <c r="AF2009" s="1" t="s">
        <v>1</v>
      </c>
      <c r="AG2009">
        <f t="shared" si="58"/>
        <v>0</v>
      </c>
    </row>
    <row r="2010" spans="27:33" hidden="1" x14ac:dyDescent="0.25">
      <c r="AA2010" t="s">
        <v>1111</v>
      </c>
      <c r="AB2010" s="1" t="s">
        <v>13</v>
      </c>
      <c r="AC2010" s="1" t="s">
        <v>5</v>
      </c>
      <c r="AD2010" s="1" t="s">
        <v>3</v>
      </c>
      <c r="AE2010" s="1" t="s">
        <v>3</v>
      </c>
      <c r="AF2010" s="1" t="s">
        <v>5</v>
      </c>
      <c r="AG2010">
        <f t="shared" si="58"/>
        <v>0</v>
      </c>
    </row>
    <row r="2011" spans="27:33" hidden="1" x14ac:dyDescent="0.25">
      <c r="AA2011" t="s">
        <v>1201</v>
      </c>
      <c r="AB2011" s="1" t="s">
        <v>5</v>
      </c>
      <c r="AC2011" s="1" t="s">
        <v>1914</v>
      </c>
      <c r="AD2011" s="1" t="s">
        <v>1919</v>
      </c>
      <c r="AE2011" s="1" t="s">
        <v>10</v>
      </c>
      <c r="AF2011" s="1" t="s">
        <v>1</v>
      </c>
      <c r="AG2011">
        <f t="shared" si="58"/>
        <v>0</v>
      </c>
    </row>
    <row r="2012" spans="27:33" hidden="1" x14ac:dyDescent="0.25">
      <c r="AA2012" t="s">
        <v>1639</v>
      </c>
      <c r="AB2012" s="1" t="s">
        <v>2</v>
      </c>
      <c r="AC2012" s="1" t="s">
        <v>8</v>
      </c>
      <c r="AD2012" s="1" t="s">
        <v>13</v>
      </c>
      <c r="AE2012" s="1" t="s">
        <v>8</v>
      </c>
      <c r="AF2012" s="1" t="s">
        <v>6</v>
      </c>
      <c r="AG2012">
        <f t="shared" si="58"/>
        <v>0</v>
      </c>
    </row>
    <row r="2013" spans="27:33" hidden="1" x14ac:dyDescent="0.25">
      <c r="AA2013" t="s">
        <v>239</v>
      </c>
      <c r="AB2013" s="1" t="s">
        <v>1914</v>
      </c>
      <c r="AC2013" s="1" t="s">
        <v>5</v>
      </c>
      <c r="AD2013" s="1" t="s">
        <v>1922</v>
      </c>
      <c r="AE2013" s="1" t="s">
        <v>11</v>
      </c>
      <c r="AF2013" s="1" t="s">
        <v>5</v>
      </c>
      <c r="AG2013">
        <f t="shared" si="58"/>
        <v>0</v>
      </c>
    </row>
    <row r="2014" spans="27:33" hidden="1" x14ac:dyDescent="0.25">
      <c r="AA2014" t="s">
        <v>1045</v>
      </c>
      <c r="AB2014" s="1" t="s">
        <v>13</v>
      </c>
      <c r="AC2014" s="1" t="s">
        <v>11</v>
      </c>
      <c r="AD2014" s="1" t="s">
        <v>1</v>
      </c>
      <c r="AE2014" s="1" t="s">
        <v>1915</v>
      </c>
      <c r="AF2014" s="1" t="s">
        <v>1</v>
      </c>
      <c r="AG2014">
        <f t="shared" si="58"/>
        <v>0</v>
      </c>
    </row>
    <row r="2015" spans="27:33" hidden="1" x14ac:dyDescent="0.25">
      <c r="AA2015" t="s">
        <v>1383</v>
      </c>
      <c r="AB2015" s="1" t="s">
        <v>9</v>
      </c>
      <c r="AC2015" s="1" t="s">
        <v>5</v>
      </c>
      <c r="AD2015" s="1" t="s">
        <v>2</v>
      </c>
      <c r="AE2015" s="1" t="s">
        <v>1</v>
      </c>
      <c r="AF2015" s="1" t="s">
        <v>3</v>
      </c>
      <c r="AG2015">
        <f t="shared" si="58"/>
        <v>0</v>
      </c>
    </row>
    <row r="2016" spans="27:33" hidden="1" x14ac:dyDescent="0.25">
      <c r="AA2016" t="s">
        <v>1605</v>
      </c>
      <c r="AB2016" s="1" t="s">
        <v>2</v>
      </c>
      <c r="AC2016" s="1" t="s">
        <v>5</v>
      </c>
      <c r="AD2016" s="1" t="s">
        <v>1914</v>
      </c>
      <c r="AE2016" s="1" t="s">
        <v>1</v>
      </c>
      <c r="AF2016" s="1" t="s">
        <v>5</v>
      </c>
      <c r="AG2016">
        <f t="shared" si="58"/>
        <v>0</v>
      </c>
    </row>
    <row r="2017" spans="27:33" hidden="1" x14ac:dyDescent="0.25">
      <c r="AA2017" t="s">
        <v>1079</v>
      </c>
      <c r="AB2017" s="1" t="s">
        <v>13</v>
      </c>
      <c r="AC2017" s="1" t="s">
        <v>10</v>
      </c>
      <c r="AD2017" s="1" t="s">
        <v>5</v>
      </c>
      <c r="AE2017" s="1" t="s">
        <v>9</v>
      </c>
      <c r="AF2017" s="1" t="s">
        <v>11</v>
      </c>
      <c r="AG2017">
        <f t="shared" si="58"/>
        <v>0</v>
      </c>
    </row>
    <row r="2018" spans="27:33" hidden="1" x14ac:dyDescent="0.25">
      <c r="AA2018" t="s">
        <v>1288</v>
      </c>
      <c r="AB2018" s="1" t="s">
        <v>9</v>
      </c>
      <c r="AC2018" s="1" t="s">
        <v>1</v>
      </c>
      <c r="AD2018" s="1" t="s">
        <v>8</v>
      </c>
      <c r="AE2018" s="1" t="s">
        <v>2</v>
      </c>
      <c r="AF2018" s="1" t="s">
        <v>1</v>
      </c>
      <c r="AG2018">
        <f t="shared" si="58"/>
        <v>0</v>
      </c>
    </row>
    <row r="2019" spans="27:33" hidden="1" x14ac:dyDescent="0.25">
      <c r="AA2019" t="s">
        <v>1001</v>
      </c>
      <c r="AB2019" s="1" t="s">
        <v>13</v>
      </c>
      <c r="AC2019" s="1" t="s">
        <v>1</v>
      </c>
      <c r="AD2019" s="1" t="s">
        <v>0</v>
      </c>
      <c r="AE2019" s="1" t="s">
        <v>7</v>
      </c>
      <c r="AF2019" s="1" t="s">
        <v>1</v>
      </c>
      <c r="AG2019">
        <f t="shared" si="58"/>
        <v>0</v>
      </c>
    </row>
    <row r="2020" spans="27:33" hidden="1" x14ac:dyDescent="0.25">
      <c r="AA2020" t="s">
        <v>1573</v>
      </c>
      <c r="AB2020" s="1" t="s">
        <v>2</v>
      </c>
      <c r="AC2020" s="1" t="s">
        <v>11</v>
      </c>
      <c r="AD2020" s="1" t="s">
        <v>9</v>
      </c>
      <c r="AE2020" s="1" t="s">
        <v>10</v>
      </c>
      <c r="AF2020" s="1" t="s">
        <v>1</v>
      </c>
      <c r="AG2020">
        <f t="shared" si="58"/>
        <v>0</v>
      </c>
    </row>
    <row r="2021" spans="27:33" hidden="1" x14ac:dyDescent="0.25">
      <c r="AA2021" t="s">
        <v>494</v>
      </c>
      <c r="AB2021" s="1" t="s">
        <v>0</v>
      </c>
      <c r="AC2021" s="1" t="s">
        <v>8</v>
      </c>
      <c r="AD2021" s="1" t="s">
        <v>3</v>
      </c>
      <c r="AE2021" s="1" t="s">
        <v>1</v>
      </c>
      <c r="AF2021" s="1" t="s">
        <v>3</v>
      </c>
      <c r="AG2021">
        <f t="shared" si="58"/>
        <v>0</v>
      </c>
    </row>
    <row r="2022" spans="27:33" hidden="1" x14ac:dyDescent="0.25">
      <c r="AA2022" t="s">
        <v>2182</v>
      </c>
      <c r="AB2022" s="1" t="s">
        <v>13</v>
      </c>
      <c r="AC2022" s="1" t="s">
        <v>5</v>
      </c>
      <c r="AD2022" s="1" t="s">
        <v>15</v>
      </c>
      <c r="AE2022" s="1" t="s">
        <v>5</v>
      </c>
      <c r="AF2022" s="1" t="s">
        <v>6</v>
      </c>
      <c r="AG2022">
        <f t="shared" si="58"/>
        <v>0</v>
      </c>
    </row>
    <row r="2023" spans="27:33" hidden="1" x14ac:dyDescent="0.25">
      <c r="AA2023" t="s">
        <v>1706</v>
      </c>
      <c r="AB2023" s="1" t="s">
        <v>4</v>
      </c>
      <c r="AC2023" s="1" t="s">
        <v>10</v>
      </c>
      <c r="AD2023" s="1" t="s">
        <v>1</v>
      </c>
      <c r="AE2023" s="1" t="s">
        <v>3</v>
      </c>
      <c r="AF2023" s="1" t="s">
        <v>1</v>
      </c>
      <c r="AG2023">
        <f t="shared" si="58"/>
        <v>0</v>
      </c>
    </row>
    <row r="2024" spans="27:33" hidden="1" x14ac:dyDescent="0.25">
      <c r="AA2024" t="s">
        <v>2313</v>
      </c>
      <c r="AB2024" s="1" t="s">
        <v>2</v>
      </c>
      <c r="AC2024" s="1" t="s">
        <v>1</v>
      </c>
      <c r="AD2024" s="1" t="s">
        <v>8</v>
      </c>
      <c r="AE2024" s="1" t="s">
        <v>0</v>
      </c>
      <c r="AF2024" s="1" t="s">
        <v>5</v>
      </c>
      <c r="AG2024">
        <f t="shared" si="58"/>
        <v>0</v>
      </c>
    </row>
    <row r="2025" spans="27:33" hidden="1" x14ac:dyDescent="0.25">
      <c r="AA2025" t="s">
        <v>1820</v>
      </c>
      <c r="AB2025" s="1" t="s">
        <v>1919</v>
      </c>
      <c r="AC2025" s="1" t="s">
        <v>1</v>
      </c>
      <c r="AD2025" s="1" t="s">
        <v>2</v>
      </c>
      <c r="AE2025" s="1" t="s">
        <v>4</v>
      </c>
      <c r="AF2025" s="1" t="s">
        <v>5</v>
      </c>
      <c r="AG2025">
        <f t="shared" si="58"/>
        <v>0</v>
      </c>
    </row>
    <row r="2026" spans="27:33" hidden="1" x14ac:dyDescent="0.25">
      <c r="AA2026" t="s">
        <v>1748</v>
      </c>
      <c r="AB2026" s="1" t="s">
        <v>4</v>
      </c>
      <c r="AC2026" s="1" t="s">
        <v>3</v>
      </c>
      <c r="AD2026" s="1" t="s">
        <v>1</v>
      </c>
      <c r="AE2026" s="1" t="s">
        <v>1914</v>
      </c>
      <c r="AF2026" s="1" t="s">
        <v>1</v>
      </c>
      <c r="AG2026">
        <f t="shared" si="58"/>
        <v>0</v>
      </c>
    </row>
    <row r="2027" spans="27:33" hidden="1" x14ac:dyDescent="0.25">
      <c r="AA2027" t="s">
        <v>1046</v>
      </c>
      <c r="AB2027" s="1" t="s">
        <v>13</v>
      </c>
      <c r="AC2027" s="1" t="s">
        <v>11</v>
      </c>
      <c r="AD2027" s="1" t="s">
        <v>1</v>
      </c>
      <c r="AE2027" s="1" t="s">
        <v>1915</v>
      </c>
      <c r="AF2027" s="1" t="s">
        <v>5</v>
      </c>
      <c r="AG2027">
        <f t="shared" si="58"/>
        <v>0</v>
      </c>
    </row>
    <row r="2028" spans="27:33" hidden="1" x14ac:dyDescent="0.25">
      <c r="AA2028" t="s">
        <v>1948</v>
      </c>
      <c r="AB2028" s="1" t="s">
        <v>1914</v>
      </c>
      <c r="AC2028" s="1" t="s">
        <v>1</v>
      </c>
      <c r="AD2028" s="1" t="s">
        <v>1914</v>
      </c>
      <c r="AE2028" s="1" t="s">
        <v>1</v>
      </c>
      <c r="AF2028" s="1" t="s">
        <v>2</v>
      </c>
      <c r="AG2028">
        <f t="shared" si="58"/>
        <v>0</v>
      </c>
    </row>
    <row r="2029" spans="27:33" hidden="1" x14ac:dyDescent="0.25">
      <c r="AA2029" t="s">
        <v>1817</v>
      </c>
      <c r="AB2029" s="1" t="s">
        <v>1919</v>
      </c>
      <c r="AC2029" s="1" t="s">
        <v>1</v>
      </c>
      <c r="AD2029" s="1" t="s">
        <v>3</v>
      </c>
      <c r="AE2029" s="1" t="s">
        <v>10</v>
      </c>
      <c r="AF2029" s="1" t="s">
        <v>5</v>
      </c>
      <c r="AG2029">
        <f t="shared" si="58"/>
        <v>0</v>
      </c>
    </row>
    <row r="2030" spans="27:33" hidden="1" x14ac:dyDescent="0.25">
      <c r="AA2030" t="s">
        <v>1763</v>
      </c>
      <c r="AB2030" s="1" t="s">
        <v>4</v>
      </c>
      <c r="AC2030" s="1" t="s">
        <v>3</v>
      </c>
      <c r="AD2030" s="1" t="s">
        <v>10</v>
      </c>
      <c r="AE2030" s="1" t="s">
        <v>1</v>
      </c>
      <c r="AF2030" s="1" t="s">
        <v>7</v>
      </c>
      <c r="AG2030">
        <f t="shared" si="58"/>
        <v>0</v>
      </c>
    </row>
    <row r="2031" spans="27:33" hidden="1" x14ac:dyDescent="0.25">
      <c r="AA2031" t="s">
        <v>1569</v>
      </c>
      <c r="AB2031" s="1" t="s">
        <v>2</v>
      </c>
      <c r="AC2031" s="1" t="s">
        <v>11</v>
      </c>
      <c r="AD2031" s="1" t="s">
        <v>1916</v>
      </c>
      <c r="AE2031" s="1" t="s">
        <v>1</v>
      </c>
      <c r="AF2031" s="1" t="s">
        <v>7</v>
      </c>
      <c r="AG2031">
        <f t="shared" si="58"/>
        <v>0</v>
      </c>
    </row>
    <row r="2032" spans="27:33" hidden="1" x14ac:dyDescent="0.25">
      <c r="AA2032" t="s">
        <v>1166</v>
      </c>
      <c r="AB2032" s="1" t="s">
        <v>6</v>
      </c>
      <c r="AC2032" s="1" t="s">
        <v>10</v>
      </c>
      <c r="AD2032" s="1" t="s">
        <v>13</v>
      </c>
      <c r="AE2032" s="1" t="s">
        <v>10</v>
      </c>
      <c r="AF2032" s="1" t="s">
        <v>5</v>
      </c>
      <c r="AG2032">
        <f t="shared" si="58"/>
        <v>0</v>
      </c>
    </row>
    <row r="2033" spans="27:33" hidden="1" x14ac:dyDescent="0.25">
      <c r="AA2033" t="s">
        <v>2306</v>
      </c>
      <c r="AB2033" s="1" t="s">
        <v>8</v>
      </c>
      <c r="AC2033" s="1" t="s">
        <v>1919</v>
      </c>
      <c r="AD2033" s="1" t="s">
        <v>8</v>
      </c>
      <c r="AE2033" s="1" t="s">
        <v>7</v>
      </c>
      <c r="AF2033" s="1" t="s">
        <v>1</v>
      </c>
      <c r="AG2033">
        <f t="shared" si="58"/>
        <v>0</v>
      </c>
    </row>
    <row r="2034" spans="27:33" hidden="1" x14ac:dyDescent="0.25">
      <c r="AA2034" t="s">
        <v>1270</v>
      </c>
      <c r="AB2034" s="1" t="s">
        <v>9</v>
      </c>
      <c r="AC2034" s="1" t="s">
        <v>1</v>
      </c>
      <c r="AD2034" s="1" t="s">
        <v>3</v>
      </c>
      <c r="AE2034" s="1" t="s">
        <v>1915</v>
      </c>
      <c r="AF2034" s="1" t="s">
        <v>5</v>
      </c>
      <c r="AG2034">
        <f t="shared" si="58"/>
        <v>0</v>
      </c>
    </row>
    <row r="2035" spans="27:33" hidden="1" x14ac:dyDescent="0.25">
      <c r="AA2035" t="s">
        <v>973</v>
      </c>
      <c r="AB2035" s="1" t="s">
        <v>7</v>
      </c>
      <c r="AC2035" s="1" t="s">
        <v>10</v>
      </c>
      <c r="AD2035" s="1" t="s">
        <v>2</v>
      </c>
      <c r="AE2035" s="1" t="s">
        <v>4</v>
      </c>
      <c r="AF2035" s="1" t="s">
        <v>5</v>
      </c>
      <c r="AG2035">
        <f t="shared" si="58"/>
        <v>0</v>
      </c>
    </row>
    <row r="2036" spans="27:33" hidden="1" x14ac:dyDescent="0.25">
      <c r="AA2036" t="s">
        <v>702</v>
      </c>
      <c r="AB2036" s="1" t="s">
        <v>1920</v>
      </c>
      <c r="AC2036" s="1" t="s">
        <v>8</v>
      </c>
      <c r="AD2036" s="1" t="s">
        <v>3</v>
      </c>
      <c r="AE2036" s="1" t="s">
        <v>10</v>
      </c>
      <c r="AF2036" s="1" t="s">
        <v>1</v>
      </c>
      <c r="AG2036">
        <f t="shared" si="58"/>
        <v>0</v>
      </c>
    </row>
    <row r="2037" spans="27:33" hidden="1" x14ac:dyDescent="0.25">
      <c r="AA2037" t="s">
        <v>1845</v>
      </c>
      <c r="AB2037" s="1" t="s">
        <v>1919</v>
      </c>
      <c r="AC2037" s="1" t="s">
        <v>10</v>
      </c>
      <c r="AD2037" s="1" t="s">
        <v>11</v>
      </c>
      <c r="AE2037" s="1" t="s">
        <v>15</v>
      </c>
      <c r="AF2037" s="1" t="s">
        <v>1</v>
      </c>
      <c r="AG2037">
        <f t="shared" si="58"/>
        <v>0</v>
      </c>
    </row>
    <row r="2038" spans="27:33" hidden="1" x14ac:dyDescent="0.25">
      <c r="AA2038" t="s">
        <v>1765</v>
      </c>
      <c r="AB2038" s="1" t="s">
        <v>4</v>
      </c>
      <c r="AC2038" s="1" t="s">
        <v>3</v>
      </c>
      <c r="AD2038" s="1" t="s">
        <v>10</v>
      </c>
      <c r="AE2038" s="1" t="s">
        <v>1921</v>
      </c>
      <c r="AF2038" s="1" t="s">
        <v>5</v>
      </c>
      <c r="AG2038">
        <f t="shared" si="58"/>
        <v>0</v>
      </c>
    </row>
    <row r="2039" spans="27:33" hidden="1" x14ac:dyDescent="0.25">
      <c r="AA2039" t="s">
        <v>1350</v>
      </c>
      <c r="AB2039" s="1" t="s">
        <v>9</v>
      </c>
      <c r="AC2039" s="1" t="s">
        <v>7</v>
      </c>
      <c r="AD2039" s="1" t="s">
        <v>1</v>
      </c>
      <c r="AE2039" s="1" t="s">
        <v>4</v>
      </c>
      <c r="AF2039" s="1" t="s">
        <v>5</v>
      </c>
      <c r="AG2039">
        <f t="shared" si="58"/>
        <v>0</v>
      </c>
    </row>
    <row r="2040" spans="27:33" hidden="1" x14ac:dyDescent="0.25">
      <c r="AA2040" t="s">
        <v>1062</v>
      </c>
      <c r="AB2040" s="1" t="s">
        <v>13</v>
      </c>
      <c r="AC2040" s="1" t="s">
        <v>11</v>
      </c>
      <c r="AD2040" s="1" t="s">
        <v>6</v>
      </c>
      <c r="AE2040" s="1" t="s">
        <v>4</v>
      </c>
      <c r="AF2040" s="1" t="s">
        <v>11</v>
      </c>
      <c r="AG2040">
        <f t="shared" si="58"/>
        <v>0</v>
      </c>
    </row>
    <row r="2041" spans="27:33" hidden="1" x14ac:dyDescent="0.25">
      <c r="AA2041" t="s">
        <v>2186</v>
      </c>
      <c r="AB2041" s="1" t="s">
        <v>15</v>
      </c>
      <c r="AC2041" s="1" t="s">
        <v>11</v>
      </c>
      <c r="AD2041" s="1" t="s">
        <v>4</v>
      </c>
      <c r="AE2041" s="1" t="s">
        <v>5</v>
      </c>
      <c r="AF2041" s="1" t="s">
        <v>6</v>
      </c>
      <c r="AG2041">
        <f t="shared" si="58"/>
        <v>0</v>
      </c>
    </row>
    <row r="2042" spans="27:33" hidden="1" x14ac:dyDescent="0.25">
      <c r="AA2042" t="s">
        <v>2191</v>
      </c>
      <c r="AB2042" s="1" t="s">
        <v>1</v>
      </c>
      <c r="AC2042" s="1" t="s">
        <v>3</v>
      </c>
      <c r="AD2042" s="1" t="s">
        <v>1921</v>
      </c>
      <c r="AE2042" s="1" t="s">
        <v>5</v>
      </c>
      <c r="AF2042" s="1" t="s">
        <v>6</v>
      </c>
      <c r="AG2042">
        <f t="shared" si="58"/>
        <v>0</v>
      </c>
    </row>
    <row r="2043" spans="27:33" hidden="1" x14ac:dyDescent="0.25">
      <c r="AA2043" t="s">
        <v>1113</v>
      </c>
      <c r="AB2043" s="1" t="s">
        <v>13</v>
      </c>
      <c r="AC2043" s="1" t="s">
        <v>5</v>
      </c>
      <c r="AD2043" s="1" t="s">
        <v>3</v>
      </c>
      <c r="AE2043" s="1" t="s">
        <v>2</v>
      </c>
      <c r="AF2043" s="1" t="s">
        <v>11</v>
      </c>
      <c r="AG2043">
        <f t="shared" si="58"/>
        <v>0</v>
      </c>
    </row>
    <row r="2044" spans="27:33" hidden="1" x14ac:dyDescent="0.25">
      <c r="AA2044" t="s">
        <v>1000</v>
      </c>
      <c r="AB2044" s="1" t="s">
        <v>13</v>
      </c>
      <c r="AC2044" s="1" t="s">
        <v>1</v>
      </c>
      <c r="AD2044" s="1" t="s">
        <v>0</v>
      </c>
      <c r="AE2044" s="1" t="s">
        <v>1917</v>
      </c>
      <c r="AF2044" s="1" t="s">
        <v>5</v>
      </c>
      <c r="AG2044">
        <f t="shared" si="58"/>
        <v>0</v>
      </c>
    </row>
    <row r="2045" spans="27:33" hidden="1" x14ac:dyDescent="0.25">
      <c r="AA2045" t="s">
        <v>1395</v>
      </c>
      <c r="AB2045" s="1" t="s">
        <v>9</v>
      </c>
      <c r="AC2045" s="1" t="s">
        <v>3</v>
      </c>
      <c r="AD2045" s="1" t="s">
        <v>10</v>
      </c>
      <c r="AE2045" s="1" t="s">
        <v>2</v>
      </c>
      <c r="AF2045" s="1" t="s">
        <v>1</v>
      </c>
      <c r="AG2045">
        <f t="shared" si="58"/>
        <v>0</v>
      </c>
    </row>
    <row r="2046" spans="27:33" hidden="1" x14ac:dyDescent="0.25">
      <c r="AA2046" t="s">
        <v>22</v>
      </c>
      <c r="AB2046" s="1" t="s">
        <v>1</v>
      </c>
      <c r="AC2046" s="1" t="s">
        <v>1914</v>
      </c>
      <c r="AD2046" s="1" t="s">
        <v>3</v>
      </c>
      <c r="AE2046" s="1" t="s">
        <v>10</v>
      </c>
      <c r="AF2046" s="1" t="s">
        <v>7</v>
      </c>
      <c r="AG2046">
        <f t="shared" si="58"/>
        <v>0</v>
      </c>
    </row>
    <row r="2047" spans="27:33" hidden="1" x14ac:dyDescent="0.25">
      <c r="AA2047" t="s">
        <v>618</v>
      </c>
      <c r="AB2047" s="1" t="s">
        <v>1920</v>
      </c>
      <c r="AC2047" s="1" t="s">
        <v>1</v>
      </c>
      <c r="AD2047" s="1" t="s">
        <v>3</v>
      </c>
      <c r="AE2047" s="1" t="s">
        <v>10</v>
      </c>
      <c r="AF2047" s="1" t="s">
        <v>5</v>
      </c>
      <c r="AG2047">
        <f t="shared" si="58"/>
        <v>0</v>
      </c>
    </row>
    <row r="2048" spans="27:33" hidden="1" x14ac:dyDescent="0.25">
      <c r="AA2048" t="s">
        <v>1423</v>
      </c>
      <c r="AB2048" s="1" t="s">
        <v>1923</v>
      </c>
      <c r="AC2048" s="1" t="s">
        <v>8</v>
      </c>
      <c r="AD2048" s="1" t="s">
        <v>10</v>
      </c>
      <c r="AE2048" s="1" t="s">
        <v>4</v>
      </c>
      <c r="AF2048" s="1" t="s">
        <v>1</v>
      </c>
      <c r="AG2048">
        <f t="shared" si="58"/>
        <v>0</v>
      </c>
    </row>
    <row r="2049" spans="27:33" hidden="1" x14ac:dyDescent="0.25">
      <c r="AA2049" t="s">
        <v>2300</v>
      </c>
      <c r="AB2049" s="1" t="s">
        <v>1917</v>
      </c>
      <c r="AC2049" s="1" t="s">
        <v>10</v>
      </c>
      <c r="AD2049" s="1" t="s">
        <v>6</v>
      </c>
      <c r="AE2049" s="1" t="s">
        <v>1915</v>
      </c>
      <c r="AF2049" s="1" t="s">
        <v>8</v>
      </c>
      <c r="AG2049">
        <f t="shared" si="58"/>
        <v>0</v>
      </c>
    </row>
    <row r="2050" spans="27:33" hidden="1" x14ac:dyDescent="0.25">
      <c r="AA2050" t="s">
        <v>979</v>
      </c>
      <c r="AB2050" s="1" t="s">
        <v>7</v>
      </c>
      <c r="AC2050" s="1" t="s">
        <v>7</v>
      </c>
      <c r="AD2050" s="1" t="s">
        <v>1</v>
      </c>
      <c r="AE2050" s="1" t="s">
        <v>6</v>
      </c>
      <c r="AF2050" s="1" t="s">
        <v>5</v>
      </c>
      <c r="AG2050">
        <f t="shared" si="58"/>
        <v>0</v>
      </c>
    </row>
    <row r="2051" spans="27:33" hidden="1" x14ac:dyDescent="0.25">
      <c r="AA2051" t="s">
        <v>729</v>
      </c>
      <c r="AB2051" s="1" t="s">
        <v>1921</v>
      </c>
      <c r="AC2051" s="1" t="s">
        <v>11</v>
      </c>
      <c r="AD2051" s="1" t="s">
        <v>6</v>
      </c>
      <c r="AE2051" s="1" t="s">
        <v>4</v>
      </c>
      <c r="AF2051" s="1" t="s">
        <v>11</v>
      </c>
      <c r="AG2051">
        <f t="shared" ref="AG2051:AG2114" si="59">IF(AND(Z2051&gt;0,Z2051&lt;7),AG2050+1,0)</f>
        <v>0</v>
      </c>
    </row>
    <row r="2052" spans="27:33" hidden="1" x14ac:dyDescent="0.25">
      <c r="AA2052" t="s">
        <v>1774</v>
      </c>
      <c r="AB2052" s="1" t="s">
        <v>4</v>
      </c>
      <c r="AC2052" s="1" t="s">
        <v>3</v>
      </c>
      <c r="AD2052" s="1" t="s">
        <v>5</v>
      </c>
      <c r="AE2052" s="1" t="s">
        <v>4</v>
      </c>
      <c r="AF2052" s="1" t="s">
        <v>11</v>
      </c>
      <c r="AG2052">
        <f t="shared" si="59"/>
        <v>0</v>
      </c>
    </row>
    <row r="2053" spans="27:33" hidden="1" x14ac:dyDescent="0.25">
      <c r="AA2053" t="s">
        <v>1661</v>
      </c>
      <c r="AB2053" s="1" t="s">
        <v>4</v>
      </c>
      <c r="AC2053" s="1" t="s">
        <v>1</v>
      </c>
      <c r="AD2053" s="1" t="s">
        <v>6</v>
      </c>
      <c r="AE2053" s="1" t="s">
        <v>4</v>
      </c>
      <c r="AF2053" s="1" t="s">
        <v>5</v>
      </c>
      <c r="AG2053">
        <f t="shared" si="59"/>
        <v>0</v>
      </c>
    </row>
    <row r="2054" spans="27:33" hidden="1" x14ac:dyDescent="0.25">
      <c r="AA2054" t="s">
        <v>2035</v>
      </c>
      <c r="AB2054" s="1" t="s">
        <v>1</v>
      </c>
      <c r="AC2054" s="1" t="s">
        <v>0</v>
      </c>
      <c r="AD2054" s="1" t="s">
        <v>10</v>
      </c>
      <c r="AE2054" s="1" t="s">
        <v>13</v>
      </c>
      <c r="AF2054" s="1" t="s">
        <v>1</v>
      </c>
      <c r="AG2054">
        <f t="shared" si="59"/>
        <v>0</v>
      </c>
    </row>
    <row r="2055" spans="27:33" hidden="1" x14ac:dyDescent="0.25">
      <c r="AA2055" t="s">
        <v>710</v>
      </c>
      <c r="AB2055" s="1" t="s">
        <v>1921</v>
      </c>
      <c r="AC2055" s="1" t="s">
        <v>1</v>
      </c>
      <c r="AD2055" s="1" t="s">
        <v>7</v>
      </c>
      <c r="AE2055" s="1" t="s">
        <v>1921</v>
      </c>
      <c r="AF2055" s="1" t="s">
        <v>1</v>
      </c>
      <c r="AG2055">
        <f t="shared" si="59"/>
        <v>0</v>
      </c>
    </row>
    <row r="2056" spans="27:33" hidden="1" x14ac:dyDescent="0.25">
      <c r="AA2056" t="s">
        <v>1061</v>
      </c>
      <c r="AB2056" s="1" t="s">
        <v>13</v>
      </c>
      <c r="AC2056" s="1" t="s">
        <v>11</v>
      </c>
      <c r="AD2056" s="1" t="s">
        <v>6</v>
      </c>
      <c r="AE2056" s="1" t="s">
        <v>4</v>
      </c>
      <c r="AF2056" s="1" t="s">
        <v>1</v>
      </c>
      <c r="AG2056">
        <f t="shared" si="59"/>
        <v>0</v>
      </c>
    </row>
    <row r="2057" spans="27:33" hidden="1" x14ac:dyDescent="0.25">
      <c r="AA2057" t="s">
        <v>180</v>
      </c>
      <c r="AB2057" s="1" t="s">
        <v>1914</v>
      </c>
      <c r="AC2057" s="1" t="s">
        <v>1</v>
      </c>
      <c r="AD2057" s="1" t="s">
        <v>3</v>
      </c>
      <c r="AE2057" s="1" t="s">
        <v>10</v>
      </c>
      <c r="AF2057" s="1" t="s">
        <v>5</v>
      </c>
      <c r="AG2057">
        <f t="shared" si="59"/>
        <v>0</v>
      </c>
    </row>
    <row r="2058" spans="27:33" hidden="1" x14ac:dyDescent="0.25">
      <c r="AA2058" t="s">
        <v>604</v>
      </c>
      <c r="AB2058" s="1" t="s">
        <v>1920</v>
      </c>
      <c r="AC2058" s="1" t="s">
        <v>1</v>
      </c>
      <c r="AD2058" s="1" t="s">
        <v>0</v>
      </c>
      <c r="AE2058" s="1" t="s">
        <v>4</v>
      </c>
      <c r="AF2058" s="1" t="s">
        <v>5</v>
      </c>
      <c r="AG2058">
        <f t="shared" si="59"/>
        <v>0</v>
      </c>
    </row>
    <row r="2059" spans="27:33" hidden="1" x14ac:dyDescent="0.25">
      <c r="AA2059" t="s">
        <v>1503</v>
      </c>
      <c r="AB2059" s="1" t="s">
        <v>3</v>
      </c>
      <c r="AC2059" s="1" t="s">
        <v>5</v>
      </c>
      <c r="AD2059" s="1" t="s">
        <v>2</v>
      </c>
      <c r="AE2059" s="1" t="s">
        <v>1</v>
      </c>
      <c r="AF2059" s="1" t="s">
        <v>7</v>
      </c>
      <c r="AG2059">
        <f t="shared" si="59"/>
        <v>0</v>
      </c>
    </row>
    <row r="2060" spans="27:33" hidden="1" x14ac:dyDescent="0.25">
      <c r="AA2060" t="s">
        <v>1841</v>
      </c>
      <c r="AB2060" s="1" t="s">
        <v>1919</v>
      </c>
      <c r="AC2060" s="1" t="s">
        <v>10</v>
      </c>
      <c r="AD2060" s="1" t="s">
        <v>1</v>
      </c>
      <c r="AE2060" s="1" t="s">
        <v>15</v>
      </c>
      <c r="AF2060" s="1" t="s">
        <v>11</v>
      </c>
      <c r="AG2060">
        <f t="shared" si="59"/>
        <v>0</v>
      </c>
    </row>
    <row r="2061" spans="27:33" hidden="1" x14ac:dyDescent="0.25">
      <c r="AA2061" t="s">
        <v>1422</v>
      </c>
      <c r="AB2061" s="1" t="s">
        <v>1923</v>
      </c>
      <c r="AC2061" s="1" t="s">
        <v>8</v>
      </c>
      <c r="AD2061" s="1" t="s">
        <v>10</v>
      </c>
      <c r="AE2061" s="1" t="s">
        <v>11</v>
      </c>
      <c r="AF2061" s="1" t="s">
        <v>6</v>
      </c>
      <c r="AG2061">
        <f t="shared" si="59"/>
        <v>0</v>
      </c>
    </row>
    <row r="2062" spans="27:33" hidden="1" x14ac:dyDescent="0.25">
      <c r="AA2062" t="s">
        <v>600</v>
      </c>
      <c r="AB2062" s="1" t="s">
        <v>11</v>
      </c>
      <c r="AC2062" s="1" t="s">
        <v>4</v>
      </c>
      <c r="AD2062" s="1" t="s">
        <v>1</v>
      </c>
      <c r="AE2062" s="1" t="s">
        <v>9</v>
      </c>
      <c r="AF2062" s="1" t="s">
        <v>1</v>
      </c>
      <c r="AG2062">
        <f t="shared" si="59"/>
        <v>0</v>
      </c>
    </row>
    <row r="2063" spans="27:33" hidden="1" x14ac:dyDescent="0.25">
      <c r="AA2063" t="s">
        <v>1300</v>
      </c>
      <c r="AB2063" s="1" t="s">
        <v>9</v>
      </c>
      <c r="AC2063" s="1" t="s">
        <v>11</v>
      </c>
      <c r="AD2063" s="1" t="s">
        <v>7</v>
      </c>
      <c r="AE2063" s="1" t="s">
        <v>1</v>
      </c>
      <c r="AF2063" s="1" t="s">
        <v>3</v>
      </c>
      <c r="AG2063">
        <f t="shared" si="59"/>
        <v>0</v>
      </c>
    </row>
    <row r="2064" spans="27:33" hidden="1" x14ac:dyDescent="0.25">
      <c r="AA2064" t="s">
        <v>1977</v>
      </c>
      <c r="AB2064" s="1" t="s">
        <v>1921</v>
      </c>
      <c r="AC2064" s="1" t="s">
        <v>11</v>
      </c>
      <c r="AD2064" s="1" t="s">
        <v>6</v>
      </c>
      <c r="AE2064" s="1" t="s">
        <v>11</v>
      </c>
      <c r="AF2064" s="1" t="s">
        <v>2</v>
      </c>
      <c r="AG2064">
        <f t="shared" si="59"/>
        <v>0</v>
      </c>
    </row>
    <row r="2065" spans="27:33" hidden="1" x14ac:dyDescent="0.25">
      <c r="AA2065" t="s">
        <v>1644</v>
      </c>
      <c r="AB2065" s="1" t="s">
        <v>4</v>
      </c>
      <c r="AC2065" s="1" t="s">
        <v>1</v>
      </c>
      <c r="AD2065" s="1" t="s">
        <v>1914</v>
      </c>
      <c r="AE2065" s="1" t="s">
        <v>7</v>
      </c>
      <c r="AF2065" s="1" t="s">
        <v>1</v>
      </c>
      <c r="AG2065">
        <f t="shared" si="59"/>
        <v>0</v>
      </c>
    </row>
    <row r="2066" spans="27:33" hidden="1" x14ac:dyDescent="0.25">
      <c r="AA2066" t="s">
        <v>1364</v>
      </c>
      <c r="AB2066" s="1" t="s">
        <v>9</v>
      </c>
      <c r="AC2066" s="1" t="s">
        <v>5</v>
      </c>
      <c r="AD2066" s="1" t="s">
        <v>1915</v>
      </c>
      <c r="AE2066" s="1" t="s">
        <v>11</v>
      </c>
      <c r="AF2066" s="1" t="s">
        <v>3</v>
      </c>
      <c r="AG2066">
        <f t="shared" si="59"/>
        <v>0</v>
      </c>
    </row>
    <row r="2067" spans="27:33" hidden="1" x14ac:dyDescent="0.25">
      <c r="AA2067" t="s">
        <v>2213</v>
      </c>
      <c r="AB2067" s="1" t="s">
        <v>0</v>
      </c>
      <c r="AC2067" s="1" t="s">
        <v>1</v>
      </c>
      <c r="AD2067" s="1" t="s">
        <v>1916</v>
      </c>
      <c r="AE2067" s="1" t="s">
        <v>5</v>
      </c>
      <c r="AF2067" s="1" t="s">
        <v>6</v>
      </c>
      <c r="AG2067">
        <f t="shared" si="59"/>
        <v>0</v>
      </c>
    </row>
    <row r="2068" spans="27:33" hidden="1" x14ac:dyDescent="0.25">
      <c r="AA2068" t="s">
        <v>20</v>
      </c>
      <c r="AB2068" s="1" t="s">
        <v>1</v>
      </c>
      <c r="AC2068" s="1" t="s">
        <v>1914</v>
      </c>
      <c r="AD2068" s="1" t="s">
        <v>11</v>
      </c>
      <c r="AE2068" s="1" t="s">
        <v>4</v>
      </c>
      <c r="AF2068" s="1" t="s">
        <v>5</v>
      </c>
      <c r="AG2068">
        <f t="shared" si="59"/>
        <v>0</v>
      </c>
    </row>
    <row r="2069" spans="27:33" hidden="1" x14ac:dyDescent="0.25">
      <c r="AA2069" t="s">
        <v>329</v>
      </c>
      <c r="AB2069" s="1" t="s">
        <v>0</v>
      </c>
      <c r="AC2069" s="1" t="s">
        <v>1</v>
      </c>
      <c r="AD2069" s="1" t="s">
        <v>3</v>
      </c>
      <c r="AE2069" s="1" t="s">
        <v>1921</v>
      </c>
      <c r="AF2069" s="1" t="s">
        <v>5</v>
      </c>
      <c r="AG2069">
        <f t="shared" si="59"/>
        <v>0</v>
      </c>
    </row>
    <row r="2070" spans="27:33" hidden="1" x14ac:dyDescent="0.25">
      <c r="AA2070" t="s">
        <v>317</v>
      </c>
      <c r="AB2070" s="1" t="s">
        <v>0</v>
      </c>
      <c r="AC2070" s="1" t="s">
        <v>1</v>
      </c>
      <c r="AD2070" s="1" t="s">
        <v>6</v>
      </c>
      <c r="AE2070" s="1" t="s">
        <v>4</v>
      </c>
      <c r="AF2070" s="1" t="s">
        <v>11</v>
      </c>
      <c r="AG2070">
        <f t="shared" si="59"/>
        <v>0</v>
      </c>
    </row>
    <row r="2071" spans="27:33" hidden="1" x14ac:dyDescent="0.25">
      <c r="AA2071" t="s">
        <v>1890</v>
      </c>
      <c r="AB2071" s="1" t="s">
        <v>1918</v>
      </c>
      <c r="AC2071" s="1" t="s">
        <v>10</v>
      </c>
      <c r="AD2071" s="1" t="s">
        <v>1917</v>
      </c>
      <c r="AE2071" s="1" t="s">
        <v>1</v>
      </c>
      <c r="AF2071" s="1" t="s">
        <v>1915</v>
      </c>
      <c r="AG2071">
        <f t="shared" si="59"/>
        <v>0</v>
      </c>
    </row>
    <row r="2072" spans="27:33" hidden="1" x14ac:dyDescent="0.25">
      <c r="AA2072" t="s">
        <v>1506</v>
      </c>
      <c r="AB2072" s="1" t="s">
        <v>3</v>
      </c>
      <c r="AC2072" s="1" t="s">
        <v>5</v>
      </c>
      <c r="AD2072" s="1" t="s">
        <v>4</v>
      </c>
      <c r="AE2072" s="1" t="s">
        <v>1</v>
      </c>
      <c r="AF2072" s="1" t="s">
        <v>3</v>
      </c>
      <c r="AG2072">
        <f t="shared" si="59"/>
        <v>0</v>
      </c>
    </row>
    <row r="2073" spans="27:33" hidden="1" x14ac:dyDescent="0.25">
      <c r="AA2073" t="s">
        <v>657</v>
      </c>
      <c r="AB2073" s="1" t="s">
        <v>1920</v>
      </c>
      <c r="AC2073" s="1" t="s">
        <v>7</v>
      </c>
      <c r="AD2073" s="1" t="s">
        <v>1</v>
      </c>
      <c r="AE2073" s="1" t="s">
        <v>0</v>
      </c>
      <c r="AF2073" s="1" t="s">
        <v>5</v>
      </c>
      <c r="AG2073">
        <f t="shared" si="59"/>
        <v>0</v>
      </c>
    </row>
    <row r="2074" spans="27:33" hidden="1" x14ac:dyDescent="0.25">
      <c r="AA2074" t="s">
        <v>1500</v>
      </c>
      <c r="AB2074" s="1" t="s">
        <v>3</v>
      </c>
      <c r="AC2074" s="1" t="s">
        <v>5</v>
      </c>
      <c r="AD2074" s="1" t="s">
        <v>6</v>
      </c>
      <c r="AE2074" s="1" t="s">
        <v>0</v>
      </c>
      <c r="AF2074" s="1" t="s">
        <v>5</v>
      </c>
      <c r="AG2074">
        <f t="shared" si="59"/>
        <v>0</v>
      </c>
    </row>
    <row r="2075" spans="27:33" hidden="1" x14ac:dyDescent="0.25">
      <c r="AA2075" t="s">
        <v>1278</v>
      </c>
      <c r="AB2075" s="1" t="s">
        <v>9</v>
      </c>
      <c r="AC2075" s="1" t="s">
        <v>1</v>
      </c>
      <c r="AD2075" s="1" t="s">
        <v>3</v>
      </c>
      <c r="AE2075" s="1" t="s">
        <v>4</v>
      </c>
      <c r="AF2075" s="1" t="s">
        <v>5</v>
      </c>
      <c r="AG2075">
        <f t="shared" si="59"/>
        <v>0</v>
      </c>
    </row>
    <row r="2076" spans="27:33" hidden="1" x14ac:dyDescent="0.25">
      <c r="AA2076" t="s">
        <v>332</v>
      </c>
      <c r="AB2076" s="1" t="s">
        <v>0</v>
      </c>
      <c r="AC2076" s="1" t="s">
        <v>1</v>
      </c>
      <c r="AD2076" s="1" t="s">
        <v>3</v>
      </c>
      <c r="AE2076" s="1" t="s">
        <v>9</v>
      </c>
      <c r="AF2076" s="1" t="s">
        <v>1</v>
      </c>
      <c r="AG2076">
        <f t="shared" si="59"/>
        <v>0</v>
      </c>
    </row>
    <row r="2077" spans="27:33" hidden="1" x14ac:dyDescent="0.25">
      <c r="AA2077" t="s">
        <v>1243</v>
      </c>
      <c r="AB2077" s="1" t="s">
        <v>5</v>
      </c>
      <c r="AC2077" s="1" t="s">
        <v>1919</v>
      </c>
      <c r="AD2077" s="1" t="s">
        <v>10</v>
      </c>
      <c r="AE2077" s="1" t="s">
        <v>6</v>
      </c>
      <c r="AF2077" s="1" t="s">
        <v>1</v>
      </c>
      <c r="AG2077">
        <f t="shared" si="59"/>
        <v>0</v>
      </c>
    </row>
    <row r="2078" spans="27:33" hidden="1" x14ac:dyDescent="0.25">
      <c r="AA2078" t="s">
        <v>2208</v>
      </c>
      <c r="AB2078" s="1" t="s">
        <v>1919</v>
      </c>
      <c r="AC2078" s="1" t="s">
        <v>10</v>
      </c>
      <c r="AD2078" s="1" t="s">
        <v>2</v>
      </c>
      <c r="AE2078" s="1" t="s">
        <v>5</v>
      </c>
      <c r="AF2078" s="1" t="s">
        <v>6</v>
      </c>
      <c r="AG2078">
        <f t="shared" si="59"/>
        <v>0</v>
      </c>
    </row>
    <row r="2079" spans="27:33" hidden="1" x14ac:dyDescent="0.25">
      <c r="AA2079" t="s">
        <v>29</v>
      </c>
      <c r="AB2079" s="1" t="s">
        <v>1</v>
      </c>
      <c r="AC2079" s="1" t="s">
        <v>0</v>
      </c>
      <c r="AD2079" s="1" t="s">
        <v>11</v>
      </c>
      <c r="AE2079" s="1" t="s">
        <v>3</v>
      </c>
      <c r="AF2079" s="1" t="s">
        <v>5</v>
      </c>
      <c r="AG2079">
        <f t="shared" si="59"/>
        <v>0</v>
      </c>
    </row>
    <row r="2080" spans="27:33" hidden="1" x14ac:dyDescent="0.25">
      <c r="AA2080" t="s">
        <v>1127</v>
      </c>
      <c r="AB2080" s="1" t="s">
        <v>13</v>
      </c>
      <c r="AC2080" s="1" t="s">
        <v>8</v>
      </c>
      <c r="AD2080" s="1" t="s">
        <v>15</v>
      </c>
      <c r="AE2080" s="1" t="s">
        <v>11</v>
      </c>
      <c r="AF2080" s="1" t="s">
        <v>3</v>
      </c>
      <c r="AG2080">
        <f t="shared" si="59"/>
        <v>0</v>
      </c>
    </row>
    <row r="2081" spans="27:33" hidden="1" x14ac:dyDescent="0.25">
      <c r="AA2081" t="s">
        <v>1879</v>
      </c>
      <c r="AB2081" s="1" t="s">
        <v>1919</v>
      </c>
      <c r="AC2081" s="1" t="s">
        <v>8</v>
      </c>
      <c r="AD2081" s="1" t="s">
        <v>7</v>
      </c>
      <c r="AE2081" s="1" t="s">
        <v>1919</v>
      </c>
      <c r="AF2081" s="1" t="s">
        <v>1</v>
      </c>
      <c r="AG2081">
        <f t="shared" si="59"/>
        <v>0</v>
      </c>
    </row>
    <row r="2082" spans="27:33" hidden="1" x14ac:dyDescent="0.25">
      <c r="AA2082" t="s">
        <v>2109</v>
      </c>
      <c r="AB2082" s="1" t="s">
        <v>1917</v>
      </c>
      <c r="AC2082" s="1" t="s">
        <v>10</v>
      </c>
      <c r="AD2082" s="1" t="s">
        <v>9</v>
      </c>
      <c r="AE2082" s="1" t="s">
        <v>11</v>
      </c>
      <c r="AF2082" s="1" t="s">
        <v>3</v>
      </c>
      <c r="AG2082">
        <f t="shared" si="59"/>
        <v>0</v>
      </c>
    </row>
    <row r="2083" spans="27:33" hidden="1" x14ac:dyDescent="0.25">
      <c r="AA2083" t="s">
        <v>423</v>
      </c>
      <c r="AB2083" s="1" t="s">
        <v>0</v>
      </c>
      <c r="AC2083" s="1" t="s">
        <v>7</v>
      </c>
      <c r="AD2083" s="1" t="s">
        <v>1</v>
      </c>
      <c r="AE2083" s="1" t="s">
        <v>1919</v>
      </c>
      <c r="AF2083" s="1" t="s">
        <v>11</v>
      </c>
      <c r="AG2083">
        <f t="shared" si="59"/>
        <v>0</v>
      </c>
    </row>
    <row r="2084" spans="27:33" hidden="1" x14ac:dyDescent="0.25">
      <c r="AA2084" t="s">
        <v>582</v>
      </c>
      <c r="AB2084" s="1" t="s">
        <v>11</v>
      </c>
      <c r="AC2084" s="1" t="s">
        <v>6</v>
      </c>
      <c r="AD2084" s="1" t="s">
        <v>1</v>
      </c>
      <c r="AE2084" s="1" t="s">
        <v>6</v>
      </c>
      <c r="AF2084" s="1" t="s">
        <v>5</v>
      </c>
      <c r="AG2084">
        <f t="shared" si="59"/>
        <v>0</v>
      </c>
    </row>
    <row r="2085" spans="27:33" hidden="1" x14ac:dyDescent="0.25">
      <c r="AA2085" t="s">
        <v>1256</v>
      </c>
      <c r="AB2085" s="1" t="s">
        <v>9</v>
      </c>
      <c r="AC2085" s="1" t="s">
        <v>1</v>
      </c>
      <c r="AD2085" s="1" t="s">
        <v>6</v>
      </c>
      <c r="AE2085" s="1" t="s">
        <v>1</v>
      </c>
      <c r="AF2085" s="1" t="s">
        <v>7</v>
      </c>
      <c r="AG2085">
        <f t="shared" si="59"/>
        <v>0</v>
      </c>
    </row>
    <row r="2086" spans="27:33" hidden="1" x14ac:dyDescent="0.25">
      <c r="AA2086" t="s">
        <v>333</v>
      </c>
      <c r="AB2086" s="1" t="s">
        <v>0</v>
      </c>
      <c r="AC2086" s="1" t="s">
        <v>1</v>
      </c>
      <c r="AD2086" s="1" t="s">
        <v>3</v>
      </c>
      <c r="AE2086" s="1" t="s">
        <v>9</v>
      </c>
      <c r="AF2086" s="1" t="s">
        <v>5</v>
      </c>
      <c r="AG2086">
        <f t="shared" si="59"/>
        <v>0</v>
      </c>
    </row>
    <row r="2087" spans="27:33" hidden="1" x14ac:dyDescent="0.25">
      <c r="AA2087" t="s">
        <v>1758</v>
      </c>
      <c r="AB2087" s="1" t="s">
        <v>4</v>
      </c>
      <c r="AC2087" s="1" t="s">
        <v>3</v>
      </c>
      <c r="AD2087" s="1" t="s">
        <v>1</v>
      </c>
      <c r="AE2087" s="1" t="s">
        <v>12</v>
      </c>
      <c r="AF2087" s="1" t="s">
        <v>1</v>
      </c>
      <c r="AG2087">
        <f t="shared" si="59"/>
        <v>0</v>
      </c>
    </row>
    <row r="2088" spans="27:33" hidden="1" x14ac:dyDescent="0.25">
      <c r="AA2088" t="s">
        <v>1282</v>
      </c>
      <c r="AB2088" s="1" t="s">
        <v>9</v>
      </c>
      <c r="AC2088" s="1" t="s">
        <v>1</v>
      </c>
      <c r="AD2088" s="1" t="s">
        <v>2</v>
      </c>
      <c r="AE2088" s="1" t="s">
        <v>13</v>
      </c>
      <c r="AF2088" s="1" t="s">
        <v>5</v>
      </c>
      <c r="AG2088">
        <f t="shared" si="59"/>
        <v>0</v>
      </c>
    </row>
    <row r="2089" spans="27:33" hidden="1" x14ac:dyDescent="0.25">
      <c r="AA2089" t="s">
        <v>2130</v>
      </c>
      <c r="AB2089" s="1" t="s">
        <v>0</v>
      </c>
      <c r="AC2089" s="1" t="s">
        <v>5</v>
      </c>
      <c r="AD2089" s="1" t="s">
        <v>7</v>
      </c>
      <c r="AE2089" s="1" t="s">
        <v>10</v>
      </c>
      <c r="AF2089" s="1" t="s">
        <v>6</v>
      </c>
      <c r="AG2089">
        <f t="shared" si="59"/>
        <v>0</v>
      </c>
    </row>
    <row r="2090" spans="27:33" hidden="1" x14ac:dyDescent="0.25">
      <c r="AA2090" t="s">
        <v>1589</v>
      </c>
      <c r="AB2090" s="1" t="s">
        <v>2</v>
      </c>
      <c r="AC2090" s="1" t="s">
        <v>10</v>
      </c>
      <c r="AD2090" s="1" t="s">
        <v>11</v>
      </c>
      <c r="AE2090" s="1" t="s">
        <v>4</v>
      </c>
      <c r="AF2090" s="1" t="s">
        <v>11</v>
      </c>
      <c r="AG2090">
        <f t="shared" si="59"/>
        <v>0</v>
      </c>
    </row>
    <row r="2091" spans="27:33" hidden="1" x14ac:dyDescent="0.25">
      <c r="AA2091" t="s">
        <v>1797</v>
      </c>
      <c r="AB2091" s="1" t="s">
        <v>8</v>
      </c>
      <c r="AC2091" s="1" t="s">
        <v>6</v>
      </c>
      <c r="AD2091" s="1" t="s">
        <v>4</v>
      </c>
      <c r="AE2091" s="1" t="s">
        <v>1</v>
      </c>
      <c r="AF2091" s="1" t="s">
        <v>3</v>
      </c>
      <c r="AG2091">
        <f t="shared" si="59"/>
        <v>0</v>
      </c>
    </row>
    <row r="2092" spans="27:33" hidden="1" x14ac:dyDescent="0.25">
      <c r="AA2092" t="s">
        <v>2187</v>
      </c>
      <c r="AB2092" s="1" t="s">
        <v>4</v>
      </c>
      <c r="AC2092" s="1" t="s">
        <v>1</v>
      </c>
      <c r="AD2092" s="1" t="s">
        <v>7</v>
      </c>
      <c r="AE2092" s="1" t="s">
        <v>5</v>
      </c>
      <c r="AF2092" s="1" t="s">
        <v>6</v>
      </c>
      <c r="AG2092">
        <f t="shared" si="59"/>
        <v>0</v>
      </c>
    </row>
    <row r="2093" spans="27:33" hidden="1" x14ac:dyDescent="0.25">
      <c r="AA2093" t="s">
        <v>388</v>
      </c>
      <c r="AB2093" s="1" t="s">
        <v>0</v>
      </c>
      <c r="AC2093" s="1" t="s">
        <v>1917</v>
      </c>
      <c r="AD2093" s="1" t="s">
        <v>10</v>
      </c>
      <c r="AE2093" s="1" t="s">
        <v>1919</v>
      </c>
      <c r="AF2093" s="1" t="s">
        <v>5</v>
      </c>
      <c r="AG2093">
        <f t="shared" si="59"/>
        <v>0</v>
      </c>
    </row>
    <row r="2094" spans="27:33" hidden="1" x14ac:dyDescent="0.25">
      <c r="AA2094" t="s">
        <v>192</v>
      </c>
      <c r="AB2094" s="1" t="s">
        <v>1914</v>
      </c>
      <c r="AC2094" s="1" t="s">
        <v>11</v>
      </c>
      <c r="AD2094" s="1" t="s">
        <v>1</v>
      </c>
      <c r="AE2094" s="1" t="s">
        <v>4</v>
      </c>
      <c r="AF2094" s="1" t="s">
        <v>5</v>
      </c>
      <c r="AG2094">
        <f t="shared" si="59"/>
        <v>0</v>
      </c>
    </row>
    <row r="2095" spans="27:33" hidden="1" x14ac:dyDescent="0.25">
      <c r="AA2095" t="s">
        <v>1662</v>
      </c>
      <c r="AB2095" s="1" t="s">
        <v>4</v>
      </c>
      <c r="AC2095" s="1" t="s">
        <v>1</v>
      </c>
      <c r="AD2095" s="1" t="s">
        <v>9</v>
      </c>
      <c r="AE2095" s="1" t="s">
        <v>1</v>
      </c>
      <c r="AF2095" s="1" t="s">
        <v>3</v>
      </c>
      <c r="AG2095">
        <f t="shared" si="59"/>
        <v>0</v>
      </c>
    </row>
    <row r="2096" spans="27:33" hidden="1" x14ac:dyDescent="0.25">
      <c r="AA2096" t="s">
        <v>719</v>
      </c>
      <c r="AB2096" s="1" t="s">
        <v>1921</v>
      </c>
      <c r="AC2096" s="1" t="s">
        <v>1</v>
      </c>
      <c r="AD2096" s="1" t="s">
        <v>6</v>
      </c>
      <c r="AE2096" s="1" t="s">
        <v>2</v>
      </c>
      <c r="AF2096" s="1" t="s">
        <v>5</v>
      </c>
      <c r="AG2096">
        <f t="shared" si="59"/>
        <v>0</v>
      </c>
    </row>
    <row r="2097" spans="27:33" hidden="1" x14ac:dyDescent="0.25">
      <c r="AA2097" t="s">
        <v>1374</v>
      </c>
      <c r="AB2097" s="1" t="s">
        <v>9</v>
      </c>
      <c r="AC2097" s="1" t="s">
        <v>5</v>
      </c>
      <c r="AD2097" s="1" t="s">
        <v>7</v>
      </c>
      <c r="AE2097" s="1" t="s">
        <v>14</v>
      </c>
      <c r="AF2097" s="1" t="s">
        <v>1</v>
      </c>
      <c r="AG2097">
        <f t="shared" si="59"/>
        <v>0</v>
      </c>
    </row>
    <row r="2098" spans="27:33" hidden="1" x14ac:dyDescent="0.25">
      <c r="AA2098" t="s">
        <v>1221</v>
      </c>
      <c r="AB2098" s="1" t="s">
        <v>5</v>
      </c>
      <c r="AC2098" s="1" t="s">
        <v>6</v>
      </c>
      <c r="AD2098" s="1" t="s">
        <v>1915</v>
      </c>
      <c r="AE2098" s="1" t="s">
        <v>11</v>
      </c>
      <c r="AF2098" s="1" t="s">
        <v>5</v>
      </c>
      <c r="AG2098">
        <f t="shared" si="59"/>
        <v>0</v>
      </c>
    </row>
    <row r="2099" spans="27:33" hidden="1" x14ac:dyDescent="0.25">
      <c r="AA2099" t="s">
        <v>1075</v>
      </c>
      <c r="AB2099" s="1" t="s">
        <v>13</v>
      </c>
      <c r="AC2099" s="1" t="s">
        <v>10</v>
      </c>
      <c r="AD2099" s="1" t="s">
        <v>7</v>
      </c>
      <c r="AE2099" s="1" t="s">
        <v>7</v>
      </c>
      <c r="AF2099" s="1" t="s">
        <v>1</v>
      </c>
      <c r="AG2099">
        <f t="shared" si="59"/>
        <v>0</v>
      </c>
    </row>
    <row r="2100" spans="27:33" hidden="1" x14ac:dyDescent="0.25">
      <c r="AA2100" t="s">
        <v>358</v>
      </c>
      <c r="AB2100" s="1" t="s">
        <v>0</v>
      </c>
      <c r="AC2100" s="1" t="s">
        <v>11</v>
      </c>
      <c r="AD2100" s="1" t="s">
        <v>7</v>
      </c>
      <c r="AE2100" s="1" t="s">
        <v>7</v>
      </c>
      <c r="AF2100" s="1" t="s">
        <v>5</v>
      </c>
      <c r="AG2100">
        <f t="shared" si="59"/>
        <v>0</v>
      </c>
    </row>
    <row r="2101" spans="27:33" hidden="1" x14ac:dyDescent="0.25">
      <c r="AA2101" t="s">
        <v>450</v>
      </c>
      <c r="AB2101" s="1" t="s">
        <v>0</v>
      </c>
      <c r="AC2101" s="1" t="s">
        <v>5</v>
      </c>
      <c r="AD2101" s="1" t="s">
        <v>9</v>
      </c>
      <c r="AE2101" s="1" t="s">
        <v>7</v>
      </c>
      <c r="AF2101" s="1" t="s">
        <v>1</v>
      </c>
      <c r="AG2101">
        <f t="shared" si="59"/>
        <v>0</v>
      </c>
    </row>
    <row r="2102" spans="27:33" hidden="1" x14ac:dyDescent="0.25">
      <c r="AA2102" t="s">
        <v>1347</v>
      </c>
      <c r="AB2102" s="1" t="s">
        <v>9</v>
      </c>
      <c r="AC2102" s="1" t="s">
        <v>7</v>
      </c>
      <c r="AD2102" s="1" t="s">
        <v>1</v>
      </c>
      <c r="AE2102" s="1" t="s">
        <v>6</v>
      </c>
      <c r="AF2102" s="1" t="s">
        <v>1</v>
      </c>
      <c r="AG2102">
        <f t="shared" si="59"/>
        <v>0</v>
      </c>
    </row>
    <row r="2103" spans="27:33" hidden="1" x14ac:dyDescent="0.25">
      <c r="AA2103" t="s">
        <v>2117</v>
      </c>
      <c r="AB2103" s="1" t="s">
        <v>1919</v>
      </c>
      <c r="AC2103" s="1" t="s">
        <v>10</v>
      </c>
      <c r="AD2103" s="1" t="s">
        <v>4</v>
      </c>
      <c r="AE2103" s="1" t="s">
        <v>5</v>
      </c>
      <c r="AF2103" s="1" t="s">
        <v>3</v>
      </c>
      <c r="AG2103">
        <f t="shared" si="59"/>
        <v>0</v>
      </c>
    </row>
    <row r="2104" spans="27:33" hidden="1" x14ac:dyDescent="0.25">
      <c r="AA2104" t="s">
        <v>1072</v>
      </c>
      <c r="AB2104" s="1" t="s">
        <v>13</v>
      </c>
      <c r="AC2104" s="1" t="s">
        <v>10</v>
      </c>
      <c r="AD2104" s="1" t="s">
        <v>0</v>
      </c>
      <c r="AE2104" s="1" t="s">
        <v>3</v>
      </c>
      <c r="AF2104" s="1" t="s">
        <v>5</v>
      </c>
      <c r="AG2104">
        <f t="shared" si="59"/>
        <v>0</v>
      </c>
    </row>
    <row r="2105" spans="27:33" hidden="1" x14ac:dyDescent="0.25">
      <c r="AA2105" t="s">
        <v>1768</v>
      </c>
      <c r="AB2105" s="1" t="s">
        <v>4</v>
      </c>
      <c r="AC2105" s="1" t="s">
        <v>3</v>
      </c>
      <c r="AD2105" s="1" t="s">
        <v>10</v>
      </c>
      <c r="AE2105" s="1" t="s">
        <v>9</v>
      </c>
      <c r="AF2105" s="1" t="s">
        <v>10</v>
      </c>
      <c r="AG2105">
        <f t="shared" si="59"/>
        <v>0</v>
      </c>
    </row>
    <row r="2106" spans="27:33" hidden="1" x14ac:dyDescent="0.25">
      <c r="AA2106" t="s">
        <v>2314</v>
      </c>
      <c r="AB2106" s="1" t="s">
        <v>1920</v>
      </c>
      <c r="AC2106" s="1" t="s">
        <v>7</v>
      </c>
      <c r="AD2106" s="1" t="s">
        <v>8</v>
      </c>
      <c r="AE2106" s="1" t="s">
        <v>5</v>
      </c>
      <c r="AF2106" s="1" t="s">
        <v>3</v>
      </c>
      <c r="AG2106">
        <f t="shared" si="59"/>
        <v>0</v>
      </c>
    </row>
    <row r="2107" spans="27:33" hidden="1" x14ac:dyDescent="0.25">
      <c r="AA2107" t="s">
        <v>272</v>
      </c>
      <c r="AB2107" s="1" t="s">
        <v>1914</v>
      </c>
      <c r="AC2107" s="1" t="s">
        <v>8</v>
      </c>
      <c r="AD2107" s="1" t="s">
        <v>7</v>
      </c>
      <c r="AE2107" s="1" t="s">
        <v>7</v>
      </c>
      <c r="AF2107" s="1" t="s">
        <v>1</v>
      </c>
      <c r="AG2107">
        <f t="shared" si="59"/>
        <v>0</v>
      </c>
    </row>
    <row r="2108" spans="27:33" hidden="1" x14ac:dyDescent="0.25">
      <c r="AA2108" t="s">
        <v>182</v>
      </c>
      <c r="AB2108" s="1" t="s">
        <v>1914</v>
      </c>
      <c r="AC2108" s="1" t="s">
        <v>1</v>
      </c>
      <c r="AD2108" s="1" t="s">
        <v>3</v>
      </c>
      <c r="AE2108" s="1" t="s">
        <v>3</v>
      </c>
      <c r="AF2108" s="1" t="s">
        <v>5</v>
      </c>
      <c r="AG2108">
        <f t="shared" si="59"/>
        <v>0</v>
      </c>
    </row>
    <row r="2109" spans="27:33" hidden="1" x14ac:dyDescent="0.25">
      <c r="AA2109" t="s">
        <v>1969</v>
      </c>
      <c r="AB2109" s="1" t="s">
        <v>9</v>
      </c>
      <c r="AC2109" s="1" t="s">
        <v>11</v>
      </c>
      <c r="AD2109" s="1" t="s">
        <v>3</v>
      </c>
      <c r="AE2109" s="1" t="s">
        <v>5</v>
      </c>
      <c r="AF2109" s="1" t="s">
        <v>2</v>
      </c>
      <c r="AG2109">
        <f t="shared" si="59"/>
        <v>0</v>
      </c>
    </row>
    <row r="2110" spans="27:33" hidden="1" x14ac:dyDescent="0.25">
      <c r="AA2110" t="s">
        <v>2215</v>
      </c>
      <c r="AB2110" s="1" t="s">
        <v>5</v>
      </c>
      <c r="AC2110" s="1" t="s">
        <v>9</v>
      </c>
      <c r="AD2110" s="1" t="s">
        <v>11</v>
      </c>
      <c r="AE2110" s="1" t="s">
        <v>3</v>
      </c>
      <c r="AF2110" s="1" t="s">
        <v>1</v>
      </c>
      <c r="AG2110">
        <f t="shared" si="59"/>
        <v>0</v>
      </c>
    </row>
    <row r="2111" spans="27:33" hidden="1" x14ac:dyDescent="0.25">
      <c r="AA2111" t="s">
        <v>957</v>
      </c>
      <c r="AB2111" s="1" t="s">
        <v>7</v>
      </c>
      <c r="AC2111" s="1" t="s">
        <v>10</v>
      </c>
      <c r="AD2111" s="1" t="s">
        <v>0</v>
      </c>
      <c r="AE2111" s="1" t="s">
        <v>3</v>
      </c>
      <c r="AF2111" s="1" t="s">
        <v>1</v>
      </c>
      <c r="AG2111">
        <f t="shared" si="59"/>
        <v>0</v>
      </c>
    </row>
    <row r="2112" spans="27:33" hidden="1" x14ac:dyDescent="0.25">
      <c r="AA2112" t="s">
        <v>1133</v>
      </c>
      <c r="AB2112" s="1" t="s">
        <v>13</v>
      </c>
      <c r="AC2112" s="1" t="s">
        <v>8</v>
      </c>
      <c r="AD2112" s="1" t="s">
        <v>2</v>
      </c>
      <c r="AE2112" s="1" t="s">
        <v>1921</v>
      </c>
      <c r="AF2112" s="1" t="s">
        <v>5</v>
      </c>
      <c r="AG2112">
        <f t="shared" si="59"/>
        <v>0</v>
      </c>
    </row>
    <row r="2113" spans="27:33" hidden="1" x14ac:dyDescent="0.25">
      <c r="AA2113" t="s">
        <v>1971</v>
      </c>
      <c r="AB2113" s="1" t="s">
        <v>3</v>
      </c>
      <c r="AC2113" s="1" t="s">
        <v>1</v>
      </c>
      <c r="AD2113" s="1" t="s">
        <v>1914</v>
      </c>
      <c r="AE2113" s="1" t="s">
        <v>1</v>
      </c>
      <c r="AF2113" s="1" t="s">
        <v>2</v>
      </c>
      <c r="AG2113">
        <f t="shared" si="59"/>
        <v>0</v>
      </c>
    </row>
    <row r="2114" spans="27:33" hidden="1" x14ac:dyDescent="0.25">
      <c r="AA2114" t="s">
        <v>2204</v>
      </c>
      <c r="AB2114" s="1" t="s">
        <v>5</v>
      </c>
      <c r="AC2114" s="1" t="s">
        <v>0</v>
      </c>
      <c r="AD2114" s="1" t="s">
        <v>8</v>
      </c>
      <c r="AE2114" s="1" t="s">
        <v>7</v>
      </c>
      <c r="AF2114" s="1" t="s">
        <v>5</v>
      </c>
      <c r="AG2114">
        <f t="shared" si="59"/>
        <v>0</v>
      </c>
    </row>
    <row r="2115" spans="27:33" hidden="1" x14ac:dyDescent="0.25">
      <c r="AA2115" t="s">
        <v>1567</v>
      </c>
      <c r="AB2115" s="1" t="s">
        <v>2</v>
      </c>
      <c r="AC2115" s="1" t="s">
        <v>11</v>
      </c>
      <c r="AD2115" s="1" t="s">
        <v>13</v>
      </c>
      <c r="AE2115" s="1" t="s">
        <v>11</v>
      </c>
      <c r="AF2115" s="1" t="s">
        <v>6</v>
      </c>
      <c r="AG2115">
        <f t="shared" ref="AG2115:AG2178" si="60">IF(AND(Z2115&gt;0,Z2115&lt;7),AG2114+1,0)</f>
        <v>0</v>
      </c>
    </row>
    <row r="2116" spans="27:33" hidden="1" x14ac:dyDescent="0.25">
      <c r="AA2116" t="s">
        <v>2310</v>
      </c>
      <c r="AB2116" s="1" t="s">
        <v>9</v>
      </c>
      <c r="AC2116" s="1" t="s">
        <v>8</v>
      </c>
      <c r="AD2116" s="1" t="s">
        <v>1921</v>
      </c>
      <c r="AE2116" s="1" t="s">
        <v>10</v>
      </c>
      <c r="AF2116" s="1" t="s">
        <v>7</v>
      </c>
      <c r="AG2116">
        <f t="shared" si="60"/>
        <v>0</v>
      </c>
    </row>
    <row r="2117" spans="27:33" hidden="1" x14ac:dyDescent="0.25">
      <c r="AA2117" t="s">
        <v>1790</v>
      </c>
      <c r="AB2117" s="1" t="s">
        <v>4</v>
      </c>
      <c r="AC2117" s="1" t="s">
        <v>8</v>
      </c>
      <c r="AD2117" s="1" t="s">
        <v>4</v>
      </c>
      <c r="AE2117" s="1" t="s">
        <v>2</v>
      </c>
      <c r="AF2117" s="1" t="s">
        <v>10</v>
      </c>
      <c r="AG2117">
        <f t="shared" si="60"/>
        <v>0</v>
      </c>
    </row>
    <row r="2118" spans="27:33" hidden="1" x14ac:dyDescent="0.25">
      <c r="AA2118" t="s">
        <v>2151</v>
      </c>
      <c r="AB2118" s="1" t="s">
        <v>13</v>
      </c>
      <c r="AC2118" s="1" t="s">
        <v>5</v>
      </c>
      <c r="AD2118" s="1" t="s">
        <v>1917</v>
      </c>
      <c r="AE2118" s="1" t="s">
        <v>10</v>
      </c>
      <c r="AF2118" s="1" t="s">
        <v>6</v>
      </c>
      <c r="AG2118">
        <f t="shared" si="60"/>
        <v>0</v>
      </c>
    </row>
    <row r="2119" spans="27:33" hidden="1" x14ac:dyDescent="0.25">
      <c r="AA2119" t="s">
        <v>1568</v>
      </c>
      <c r="AB2119" s="1" t="s">
        <v>2</v>
      </c>
      <c r="AC2119" s="1" t="s">
        <v>11</v>
      </c>
      <c r="AD2119" s="1" t="s">
        <v>13</v>
      </c>
      <c r="AE2119" s="1" t="s">
        <v>10</v>
      </c>
      <c r="AF2119" s="1" t="s">
        <v>2</v>
      </c>
      <c r="AG2119">
        <f t="shared" si="60"/>
        <v>0</v>
      </c>
    </row>
    <row r="2120" spans="27:33" hidden="1" x14ac:dyDescent="0.25">
      <c r="AA2120" t="s">
        <v>1320</v>
      </c>
      <c r="AB2120" s="1" t="s">
        <v>9</v>
      </c>
      <c r="AC2120" s="1" t="s">
        <v>11</v>
      </c>
      <c r="AD2120" s="1" t="s">
        <v>4</v>
      </c>
      <c r="AE2120" s="1" t="s">
        <v>1</v>
      </c>
      <c r="AF2120" s="1" t="s">
        <v>3</v>
      </c>
      <c r="AG2120">
        <f t="shared" si="60"/>
        <v>0</v>
      </c>
    </row>
    <row r="2121" spans="27:33" hidden="1" x14ac:dyDescent="0.25">
      <c r="AA2121" t="s">
        <v>941</v>
      </c>
      <c r="AB2121" s="1" t="s">
        <v>7</v>
      </c>
      <c r="AC2121" s="1" t="s">
        <v>11</v>
      </c>
      <c r="AD2121" s="1" t="s">
        <v>6</v>
      </c>
      <c r="AE2121" s="1" t="s">
        <v>4</v>
      </c>
      <c r="AF2121" s="1" t="s">
        <v>11</v>
      </c>
      <c r="AG2121">
        <f t="shared" si="60"/>
        <v>0</v>
      </c>
    </row>
    <row r="2122" spans="27:33" hidden="1" x14ac:dyDescent="0.25">
      <c r="AA2122" t="s">
        <v>1306</v>
      </c>
      <c r="AB2122" s="1" t="s">
        <v>9</v>
      </c>
      <c r="AC2122" s="1" t="s">
        <v>11</v>
      </c>
      <c r="AD2122" s="1" t="s">
        <v>5</v>
      </c>
      <c r="AE2122" s="1" t="s">
        <v>6</v>
      </c>
      <c r="AF2122" s="1" t="s">
        <v>1</v>
      </c>
      <c r="AG2122">
        <f t="shared" si="60"/>
        <v>0</v>
      </c>
    </row>
    <row r="2123" spans="27:33" hidden="1" x14ac:dyDescent="0.25">
      <c r="AA2123" t="s">
        <v>454</v>
      </c>
      <c r="AB2123" s="1" t="s">
        <v>0</v>
      </c>
      <c r="AC2123" s="1" t="s">
        <v>5</v>
      </c>
      <c r="AD2123" s="1" t="s">
        <v>3</v>
      </c>
      <c r="AE2123" s="1" t="s">
        <v>2</v>
      </c>
      <c r="AF2123" s="1" t="s">
        <v>5</v>
      </c>
      <c r="AG2123">
        <f t="shared" si="60"/>
        <v>0</v>
      </c>
    </row>
    <row r="2124" spans="27:33" hidden="1" x14ac:dyDescent="0.25">
      <c r="AA2124" t="s">
        <v>913</v>
      </c>
      <c r="AB2124" s="1" t="s">
        <v>7</v>
      </c>
      <c r="AC2124" s="1" t="s">
        <v>1</v>
      </c>
      <c r="AD2124" s="1" t="s">
        <v>1914</v>
      </c>
      <c r="AE2124" s="1" t="s">
        <v>10</v>
      </c>
      <c r="AF2124" s="1" t="s">
        <v>5</v>
      </c>
      <c r="AG2124">
        <f t="shared" si="60"/>
        <v>0</v>
      </c>
    </row>
    <row r="2125" spans="27:33" hidden="1" x14ac:dyDescent="0.25">
      <c r="AA2125" t="s">
        <v>1196</v>
      </c>
      <c r="AB2125" s="1" t="s">
        <v>5</v>
      </c>
      <c r="AC2125" s="1" t="s">
        <v>1</v>
      </c>
      <c r="AD2125" s="1" t="s">
        <v>2</v>
      </c>
      <c r="AE2125" s="1" t="s">
        <v>10</v>
      </c>
      <c r="AF2125" s="1" t="s">
        <v>2</v>
      </c>
      <c r="AG2125">
        <f t="shared" si="60"/>
        <v>0</v>
      </c>
    </row>
    <row r="2126" spans="27:33" hidden="1" x14ac:dyDescent="0.25">
      <c r="AA2126" t="s">
        <v>2161</v>
      </c>
      <c r="AB2126" s="1" t="s">
        <v>1914</v>
      </c>
      <c r="AC2126" s="1" t="s">
        <v>1</v>
      </c>
      <c r="AD2126" s="1" t="s">
        <v>15</v>
      </c>
      <c r="AE2126" s="1" t="s">
        <v>10</v>
      </c>
      <c r="AF2126" s="1" t="s">
        <v>5</v>
      </c>
      <c r="AG2126">
        <f t="shared" si="60"/>
        <v>0</v>
      </c>
    </row>
    <row r="2127" spans="27:33" hidden="1" x14ac:dyDescent="0.25">
      <c r="AA2127" t="s">
        <v>520</v>
      </c>
      <c r="AB2127" s="1" t="s">
        <v>1915</v>
      </c>
      <c r="AC2127" s="1" t="s">
        <v>11</v>
      </c>
      <c r="AD2127" s="1" t="s">
        <v>7</v>
      </c>
      <c r="AE2127" s="1" t="s">
        <v>10</v>
      </c>
      <c r="AF2127" s="1" t="s">
        <v>5</v>
      </c>
      <c r="AG2127">
        <f t="shared" si="60"/>
        <v>0</v>
      </c>
    </row>
    <row r="2128" spans="27:33" hidden="1" x14ac:dyDescent="0.25">
      <c r="AA2128" t="s">
        <v>1005</v>
      </c>
      <c r="AB2128" s="1" t="s">
        <v>13</v>
      </c>
      <c r="AC2128" s="1" t="s">
        <v>1</v>
      </c>
      <c r="AD2128" s="1" t="s">
        <v>1920</v>
      </c>
      <c r="AE2128" s="1" t="s">
        <v>10</v>
      </c>
      <c r="AF2128" s="1" t="s">
        <v>1</v>
      </c>
      <c r="AG2128">
        <f t="shared" si="60"/>
        <v>0</v>
      </c>
    </row>
    <row r="2129" spans="27:33" hidden="1" x14ac:dyDescent="0.25">
      <c r="AA2129" t="s">
        <v>1858</v>
      </c>
      <c r="AB2129" s="1" t="s">
        <v>1919</v>
      </c>
      <c r="AC2129" s="1" t="s">
        <v>10</v>
      </c>
      <c r="AD2129" s="1" t="s">
        <v>2</v>
      </c>
      <c r="AE2129" s="1" t="s">
        <v>5</v>
      </c>
      <c r="AF2129" s="1" t="s">
        <v>3</v>
      </c>
      <c r="AG2129">
        <f t="shared" si="60"/>
        <v>0</v>
      </c>
    </row>
    <row r="2130" spans="27:33" hidden="1" x14ac:dyDescent="0.25">
      <c r="AA2130" t="s">
        <v>1501</v>
      </c>
      <c r="AB2130" s="1" t="s">
        <v>3</v>
      </c>
      <c r="AC2130" s="1" t="s">
        <v>5</v>
      </c>
      <c r="AD2130" s="1" t="s">
        <v>6</v>
      </c>
      <c r="AE2130" s="1" t="s">
        <v>1915</v>
      </c>
      <c r="AF2130" s="1" t="s">
        <v>1</v>
      </c>
      <c r="AG2130">
        <f t="shared" si="60"/>
        <v>0</v>
      </c>
    </row>
    <row r="2131" spans="27:33" hidden="1" x14ac:dyDescent="0.25">
      <c r="AA2131" t="s">
        <v>424</v>
      </c>
      <c r="AB2131" s="1" t="s">
        <v>0</v>
      </c>
      <c r="AC2131" s="1" t="s">
        <v>7</v>
      </c>
      <c r="AD2131" s="1" t="s">
        <v>1</v>
      </c>
      <c r="AE2131" s="1" t="s">
        <v>1919</v>
      </c>
      <c r="AF2131" s="1" t="s">
        <v>5</v>
      </c>
      <c r="AG2131">
        <f t="shared" si="60"/>
        <v>0</v>
      </c>
    </row>
    <row r="2132" spans="27:33" hidden="1" x14ac:dyDescent="0.25">
      <c r="AA2132" t="s">
        <v>1642</v>
      </c>
      <c r="AB2132" s="1" t="s">
        <v>2</v>
      </c>
      <c r="AC2132" s="1" t="s">
        <v>8</v>
      </c>
      <c r="AD2132" s="1" t="s">
        <v>2</v>
      </c>
      <c r="AE2132" s="1" t="s">
        <v>4</v>
      </c>
      <c r="AF2132" s="1" t="s">
        <v>5</v>
      </c>
      <c r="AG2132">
        <f t="shared" si="60"/>
        <v>0</v>
      </c>
    </row>
    <row r="2133" spans="27:33" hidden="1" x14ac:dyDescent="0.25">
      <c r="AA2133" t="s">
        <v>804</v>
      </c>
      <c r="AB2133" s="1" t="s">
        <v>1917</v>
      </c>
      <c r="AC2133" s="1" t="s">
        <v>1</v>
      </c>
      <c r="AD2133" s="1" t="s">
        <v>13</v>
      </c>
      <c r="AE2133" s="1" t="s">
        <v>9</v>
      </c>
      <c r="AF2133" s="1" t="s">
        <v>1</v>
      </c>
      <c r="AG2133">
        <f t="shared" si="60"/>
        <v>0</v>
      </c>
    </row>
    <row r="2134" spans="27:33" hidden="1" x14ac:dyDescent="0.25">
      <c r="AA2134" t="s">
        <v>2230</v>
      </c>
      <c r="AB2134" s="1" t="s">
        <v>0</v>
      </c>
      <c r="AC2134" s="1" t="s">
        <v>5</v>
      </c>
      <c r="AD2134" s="1" t="s">
        <v>1915</v>
      </c>
      <c r="AE2134" s="1" t="s">
        <v>11</v>
      </c>
      <c r="AF2134" s="1" t="s">
        <v>1922</v>
      </c>
      <c r="AG2134">
        <f t="shared" si="60"/>
        <v>0</v>
      </c>
    </row>
    <row r="2135" spans="27:33" hidden="1" x14ac:dyDescent="0.25">
      <c r="AA2135" t="s">
        <v>925</v>
      </c>
      <c r="AB2135" s="1" t="s">
        <v>7</v>
      </c>
      <c r="AC2135" s="1" t="s">
        <v>1</v>
      </c>
      <c r="AD2135" s="1" t="s">
        <v>6</v>
      </c>
      <c r="AE2135" s="1" t="s">
        <v>12</v>
      </c>
      <c r="AF2135" s="1" t="s">
        <v>1</v>
      </c>
      <c r="AG2135">
        <f t="shared" si="60"/>
        <v>0</v>
      </c>
    </row>
    <row r="2136" spans="27:33" hidden="1" x14ac:dyDescent="0.25">
      <c r="AA2136" t="s">
        <v>2002</v>
      </c>
      <c r="AB2136" s="1" t="s">
        <v>1919</v>
      </c>
      <c r="AC2136" s="1" t="s">
        <v>1</v>
      </c>
      <c r="AD2136" s="1" t="s">
        <v>4</v>
      </c>
      <c r="AE2136" s="1" t="s">
        <v>11</v>
      </c>
      <c r="AF2136" s="1" t="s">
        <v>3</v>
      </c>
      <c r="AG2136">
        <f t="shared" si="60"/>
        <v>0</v>
      </c>
    </row>
    <row r="2137" spans="27:33" hidden="1" x14ac:dyDescent="0.25">
      <c r="AA2137" t="s">
        <v>632</v>
      </c>
      <c r="AB2137" s="1" t="s">
        <v>1920</v>
      </c>
      <c r="AC2137" s="1" t="s">
        <v>11</v>
      </c>
      <c r="AD2137" s="1" t="s">
        <v>3</v>
      </c>
      <c r="AE2137" s="1" t="s">
        <v>10</v>
      </c>
      <c r="AF2137" s="1" t="s">
        <v>1</v>
      </c>
      <c r="AG2137">
        <f t="shared" si="60"/>
        <v>0</v>
      </c>
    </row>
    <row r="2138" spans="27:33" hidden="1" x14ac:dyDescent="0.25">
      <c r="AA2138" t="s">
        <v>1648</v>
      </c>
      <c r="AB2138" s="1" t="s">
        <v>4</v>
      </c>
      <c r="AC2138" s="1" t="s">
        <v>1</v>
      </c>
      <c r="AD2138" s="1" t="s">
        <v>7</v>
      </c>
      <c r="AE2138" s="1" t="s">
        <v>1</v>
      </c>
      <c r="AF2138" s="1" t="s">
        <v>3</v>
      </c>
      <c r="AG2138">
        <f t="shared" si="60"/>
        <v>0</v>
      </c>
    </row>
    <row r="2139" spans="27:33" hidden="1" x14ac:dyDescent="0.25">
      <c r="AA2139" t="s">
        <v>1299</v>
      </c>
      <c r="AB2139" s="1" t="s">
        <v>9</v>
      </c>
      <c r="AC2139" s="1" t="s">
        <v>11</v>
      </c>
      <c r="AD2139" s="1" t="s">
        <v>10</v>
      </c>
      <c r="AE2139" s="1" t="s">
        <v>6</v>
      </c>
      <c r="AF2139" s="1" t="s">
        <v>11</v>
      </c>
      <c r="AG2139">
        <f t="shared" si="60"/>
        <v>0</v>
      </c>
    </row>
    <row r="2140" spans="27:33" hidden="1" x14ac:dyDescent="0.25">
      <c r="AA2140" t="s">
        <v>2095</v>
      </c>
      <c r="AB2140" s="1" t="s">
        <v>5</v>
      </c>
      <c r="AC2140" s="1" t="s">
        <v>10</v>
      </c>
      <c r="AD2140" s="1" t="s">
        <v>1915</v>
      </c>
      <c r="AE2140" s="1" t="s">
        <v>10</v>
      </c>
      <c r="AF2140" s="1" t="s">
        <v>5</v>
      </c>
      <c r="AG2140">
        <f t="shared" si="60"/>
        <v>0</v>
      </c>
    </row>
    <row r="2141" spans="27:33" hidden="1" x14ac:dyDescent="0.25">
      <c r="AA2141" t="s">
        <v>386</v>
      </c>
      <c r="AB2141" s="1" t="s">
        <v>0</v>
      </c>
      <c r="AC2141" s="1" t="s">
        <v>1917</v>
      </c>
      <c r="AD2141" s="1" t="s">
        <v>10</v>
      </c>
      <c r="AE2141" s="1" t="s">
        <v>6</v>
      </c>
      <c r="AF2141" s="1" t="s">
        <v>5</v>
      </c>
      <c r="AG2141">
        <f t="shared" si="60"/>
        <v>0</v>
      </c>
    </row>
    <row r="2142" spans="27:33" hidden="1" x14ac:dyDescent="0.25">
      <c r="AA2142" t="s">
        <v>1063</v>
      </c>
      <c r="AB2142" s="1" t="s">
        <v>13</v>
      </c>
      <c r="AC2142" s="1" t="s">
        <v>11</v>
      </c>
      <c r="AD2142" s="1" t="s">
        <v>5</v>
      </c>
      <c r="AE2142" s="1" t="s">
        <v>6</v>
      </c>
      <c r="AF2142" s="1" t="s">
        <v>1</v>
      </c>
      <c r="AG2142">
        <f t="shared" si="60"/>
        <v>0</v>
      </c>
    </row>
    <row r="2143" spans="27:33" hidden="1" x14ac:dyDescent="0.25">
      <c r="AA2143" t="s">
        <v>181</v>
      </c>
      <c r="AB2143" s="1" t="s">
        <v>1914</v>
      </c>
      <c r="AC2143" s="1" t="s">
        <v>1</v>
      </c>
      <c r="AD2143" s="1" t="s">
        <v>3</v>
      </c>
      <c r="AE2143" s="1" t="s">
        <v>3</v>
      </c>
      <c r="AF2143" s="1" t="s">
        <v>1</v>
      </c>
      <c r="AG2143">
        <f t="shared" si="60"/>
        <v>0</v>
      </c>
    </row>
    <row r="2144" spans="27:33" hidden="1" x14ac:dyDescent="0.25">
      <c r="AA2144" t="s">
        <v>1608</v>
      </c>
      <c r="AB2144" s="1" t="s">
        <v>2</v>
      </c>
      <c r="AC2144" s="1" t="s">
        <v>5</v>
      </c>
      <c r="AD2144" s="1" t="s">
        <v>1914</v>
      </c>
      <c r="AE2144" s="1" t="s">
        <v>3</v>
      </c>
      <c r="AF2144" s="1" t="s">
        <v>11</v>
      </c>
      <c r="AG2144">
        <f t="shared" si="60"/>
        <v>0</v>
      </c>
    </row>
    <row r="2145" spans="27:33" hidden="1" x14ac:dyDescent="0.25">
      <c r="AA2145" t="s">
        <v>1445</v>
      </c>
      <c r="AB2145" s="1" t="s">
        <v>3</v>
      </c>
      <c r="AC2145" s="1" t="s">
        <v>1</v>
      </c>
      <c r="AD2145" s="1" t="s">
        <v>4</v>
      </c>
      <c r="AE2145" s="1" t="s">
        <v>10</v>
      </c>
      <c r="AF2145" s="1" t="s">
        <v>5</v>
      </c>
      <c r="AG2145">
        <f t="shared" si="60"/>
        <v>0</v>
      </c>
    </row>
    <row r="2146" spans="27:33" hidden="1" x14ac:dyDescent="0.25">
      <c r="AA2146" t="s">
        <v>564</v>
      </c>
      <c r="AB2146" s="1" t="s">
        <v>1915</v>
      </c>
      <c r="AC2146" s="1" t="s">
        <v>8</v>
      </c>
      <c r="AD2146" s="1" t="s">
        <v>11</v>
      </c>
      <c r="AE2146" s="1" t="s">
        <v>7</v>
      </c>
      <c r="AF2146" s="1" t="s">
        <v>5</v>
      </c>
      <c r="AG2146">
        <f t="shared" si="60"/>
        <v>0</v>
      </c>
    </row>
    <row r="2147" spans="27:33" hidden="1" x14ac:dyDescent="0.25">
      <c r="AA2147" t="s">
        <v>1824</v>
      </c>
      <c r="AB2147" s="1" t="s">
        <v>1919</v>
      </c>
      <c r="AC2147" s="1" t="s">
        <v>11</v>
      </c>
      <c r="AD2147" s="1" t="s">
        <v>15</v>
      </c>
      <c r="AE2147" s="1" t="s">
        <v>11</v>
      </c>
      <c r="AF2147" s="1" t="s">
        <v>12</v>
      </c>
      <c r="AG2147">
        <f t="shared" si="60"/>
        <v>0</v>
      </c>
    </row>
    <row r="2148" spans="27:33" hidden="1" x14ac:dyDescent="0.25">
      <c r="AA2148" t="s">
        <v>2051</v>
      </c>
      <c r="AB2148" s="1" t="s">
        <v>0</v>
      </c>
      <c r="AC2148" s="1" t="s">
        <v>11</v>
      </c>
      <c r="AD2148" s="1" t="s">
        <v>2</v>
      </c>
      <c r="AE2148" s="1" t="s">
        <v>1</v>
      </c>
      <c r="AF2148" s="1" t="s">
        <v>3</v>
      </c>
      <c r="AG2148">
        <f t="shared" si="60"/>
        <v>0</v>
      </c>
    </row>
    <row r="2149" spans="27:33" hidden="1" x14ac:dyDescent="0.25">
      <c r="AA2149" t="s">
        <v>412</v>
      </c>
      <c r="AB2149" s="1" t="s">
        <v>0</v>
      </c>
      <c r="AC2149" s="1" t="s">
        <v>10</v>
      </c>
      <c r="AD2149" s="1" t="s">
        <v>3</v>
      </c>
      <c r="AE2149" s="1" t="s">
        <v>0</v>
      </c>
      <c r="AF2149" s="1" t="s">
        <v>5</v>
      </c>
      <c r="AG2149">
        <f t="shared" si="60"/>
        <v>0</v>
      </c>
    </row>
    <row r="2150" spans="27:33" hidden="1" x14ac:dyDescent="0.25">
      <c r="AA2150" t="s">
        <v>2077</v>
      </c>
      <c r="AB2150" s="1" t="s">
        <v>13</v>
      </c>
      <c r="AC2150" s="1" t="s">
        <v>1</v>
      </c>
      <c r="AD2150" s="1" t="s">
        <v>0</v>
      </c>
      <c r="AE2150" s="1" t="s">
        <v>1917</v>
      </c>
      <c r="AF2150" s="1" t="s">
        <v>11</v>
      </c>
      <c r="AG2150">
        <f t="shared" si="60"/>
        <v>0</v>
      </c>
    </row>
    <row r="2151" spans="27:33" hidden="1" x14ac:dyDescent="0.25">
      <c r="AA2151" t="s">
        <v>2001</v>
      </c>
      <c r="AB2151" s="1" t="s">
        <v>1</v>
      </c>
      <c r="AC2151" s="1" t="s">
        <v>7</v>
      </c>
      <c r="AD2151" s="1" t="s">
        <v>1914</v>
      </c>
      <c r="AE2151" s="1" t="s">
        <v>8</v>
      </c>
      <c r="AF2151" s="1" t="s">
        <v>13</v>
      </c>
      <c r="AG2151">
        <f t="shared" si="60"/>
        <v>0</v>
      </c>
    </row>
    <row r="2152" spans="27:33" hidden="1" x14ac:dyDescent="0.25">
      <c r="AA2152" t="s">
        <v>1891</v>
      </c>
      <c r="AB2152" s="1" t="s">
        <v>1918</v>
      </c>
      <c r="AC2152" s="1" t="s">
        <v>5</v>
      </c>
      <c r="AD2152" s="1" t="s">
        <v>1915</v>
      </c>
      <c r="AE2152" s="1" t="s">
        <v>1</v>
      </c>
      <c r="AF2152" s="1" t="s">
        <v>3</v>
      </c>
      <c r="AG2152">
        <f t="shared" si="60"/>
        <v>0</v>
      </c>
    </row>
    <row r="2153" spans="27:33" hidden="1" x14ac:dyDescent="0.25">
      <c r="AA2153" t="s">
        <v>789</v>
      </c>
      <c r="AB2153" s="1" t="s">
        <v>1921</v>
      </c>
      <c r="AC2153" s="1" t="s">
        <v>8</v>
      </c>
      <c r="AD2153" s="1" t="s">
        <v>10</v>
      </c>
      <c r="AE2153" s="1" t="s">
        <v>5</v>
      </c>
      <c r="AF2153" s="1" t="s">
        <v>6</v>
      </c>
      <c r="AG2153">
        <f t="shared" si="60"/>
        <v>0</v>
      </c>
    </row>
    <row r="2154" spans="27:33" hidden="1" x14ac:dyDescent="0.25">
      <c r="AA2154" t="s">
        <v>696</v>
      </c>
      <c r="AB2154" s="1" t="s">
        <v>1920</v>
      </c>
      <c r="AC2154" s="1" t="s">
        <v>8</v>
      </c>
      <c r="AD2154" s="1" t="s">
        <v>11</v>
      </c>
      <c r="AE2154" s="1" t="s">
        <v>3</v>
      </c>
      <c r="AF2154" s="1" t="s">
        <v>1</v>
      </c>
      <c r="AG2154">
        <f t="shared" si="60"/>
        <v>0</v>
      </c>
    </row>
    <row r="2155" spans="27:33" hidden="1" x14ac:dyDescent="0.25">
      <c r="AA2155" t="s">
        <v>2240</v>
      </c>
      <c r="AB2155" s="1" t="s">
        <v>1</v>
      </c>
      <c r="AC2155" s="1" t="s">
        <v>10</v>
      </c>
      <c r="AD2155" s="1" t="s">
        <v>3</v>
      </c>
      <c r="AE2155" s="1" t="s">
        <v>5</v>
      </c>
      <c r="AF2155" s="1" t="s">
        <v>6</v>
      </c>
      <c r="AG2155">
        <f t="shared" si="60"/>
        <v>0</v>
      </c>
    </row>
    <row r="2156" spans="27:33" hidden="1" x14ac:dyDescent="0.25">
      <c r="AA2156" t="s">
        <v>577</v>
      </c>
      <c r="AB2156" s="1" t="s">
        <v>11</v>
      </c>
      <c r="AC2156" s="1" t="s">
        <v>1920</v>
      </c>
      <c r="AD2156" s="1" t="s">
        <v>11</v>
      </c>
      <c r="AE2156" s="1" t="s">
        <v>1914</v>
      </c>
      <c r="AF2156" s="1" t="s">
        <v>5</v>
      </c>
      <c r="AG2156">
        <f t="shared" si="60"/>
        <v>0</v>
      </c>
    </row>
    <row r="2157" spans="27:33" hidden="1" x14ac:dyDescent="0.25">
      <c r="AA2157" t="s">
        <v>1489</v>
      </c>
      <c r="AB2157" s="1" t="s">
        <v>3</v>
      </c>
      <c r="AC2157" s="1" t="s">
        <v>5</v>
      </c>
      <c r="AD2157" s="1" t="s">
        <v>1914</v>
      </c>
      <c r="AE2157" s="1" t="s">
        <v>1</v>
      </c>
      <c r="AF2157" s="1" t="s">
        <v>3</v>
      </c>
      <c r="AG2157">
        <f t="shared" si="60"/>
        <v>0</v>
      </c>
    </row>
    <row r="2158" spans="27:33" hidden="1" x14ac:dyDescent="0.25">
      <c r="AA2158" t="s">
        <v>1531</v>
      </c>
      <c r="AB2158" s="1" t="s">
        <v>2</v>
      </c>
      <c r="AC2158" s="1" t="s">
        <v>1</v>
      </c>
      <c r="AD2158" s="1" t="s">
        <v>0</v>
      </c>
      <c r="AE2158" s="1" t="s">
        <v>1</v>
      </c>
      <c r="AF2158" s="1" t="s">
        <v>3</v>
      </c>
      <c r="AG2158">
        <f t="shared" si="60"/>
        <v>0</v>
      </c>
    </row>
    <row r="2159" spans="27:33" hidden="1" x14ac:dyDescent="0.25">
      <c r="AA2159" t="s">
        <v>1182</v>
      </c>
      <c r="AB2159" s="1" t="s">
        <v>6</v>
      </c>
      <c r="AC2159" s="1" t="s">
        <v>5</v>
      </c>
      <c r="AD2159" s="1" t="s">
        <v>3</v>
      </c>
      <c r="AE2159" s="1" t="s">
        <v>4</v>
      </c>
      <c r="AF2159" s="1" t="s">
        <v>11</v>
      </c>
      <c r="AG2159">
        <f t="shared" si="60"/>
        <v>0</v>
      </c>
    </row>
    <row r="2160" spans="27:33" hidden="1" x14ac:dyDescent="0.25">
      <c r="AA2160" t="s">
        <v>1528</v>
      </c>
      <c r="AB2160" s="1" t="s">
        <v>2</v>
      </c>
      <c r="AC2160" s="1" t="s">
        <v>1</v>
      </c>
      <c r="AD2160" s="1" t="s">
        <v>1914</v>
      </c>
      <c r="AE2160" s="1" t="s">
        <v>10</v>
      </c>
      <c r="AF2160" s="1" t="s">
        <v>5</v>
      </c>
      <c r="AG2160">
        <f t="shared" si="60"/>
        <v>0</v>
      </c>
    </row>
    <row r="2161" spans="27:33" hidden="1" x14ac:dyDescent="0.25">
      <c r="AA2161" t="s">
        <v>393</v>
      </c>
      <c r="AB2161" s="1" t="s">
        <v>0</v>
      </c>
      <c r="AC2161" s="1" t="s">
        <v>1917</v>
      </c>
      <c r="AD2161" s="1" t="s">
        <v>5</v>
      </c>
      <c r="AE2161" s="1" t="s">
        <v>4</v>
      </c>
      <c r="AF2161" s="1" t="s">
        <v>1</v>
      </c>
      <c r="AG2161">
        <f t="shared" si="60"/>
        <v>0</v>
      </c>
    </row>
    <row r="2162" spans="27:33" hidden="1" x14ac:dyDescent="0.25">
      <c r="AA2162" t="s">
        <v>1442</v>
      </c>
      <c r="AB2162" s="1" t="s">
        <v>3</v>
      </c>
      <c r="AC2162" s="1" t="s">
        <v>1</v>
      </c>
      <c r="AD2162" s="1" t="s">
        <v>2</v>
      </c>
      <c r="AE2162" s="1" t="s">
        <v>1921</v>
      </c>
      <c r="AF2162" s="1" t="s">
        <v>5</v>
      </c>
      <c r="AG2162">
        <f t="shared" si="60"/>
        <v>0</v>
      </c>
    </row>
    <row r="2163" spans="27:33" hidden="1" x14ac:dyDescent="0.25">
      <c r="AA2163" t="s">
        <v>321</v>
      </c>
      <c r="AB2163" s="1" t="s">
        <v>0</v>
      </c>
      <c r="AC2163" s="1" t="s">
        <v>1</v>
      </c>
      <c r="AD2163" s="1" t="s">
        <v>9</v>
      </c>
      <c r="AE2163" s="1" t="s">
        <v>11</v>
      </c>
      <c r="AF2163" s="1" t="s">
        <v>1</v>
      </c>
      <c r="AG2163">
        <f t="shared" si="60"/>
        <v>0</v>
      </c>
    </row>
    <row r="2164" spans="27:33" hidden="1" x14ac:dyDescent="0.25">
      <c r="AA2164" t="s">
        <v>1785</v>
      </c>
      <c r="AB2164" s="1" t="s">
        <v>4</v>
      </c>
      <c r="AC2164" s="1" t="s">
        <v>8</v>
      </c>
      <c r="AD2164" s="1" t="s">
        <v>3</v>
      </c>
      <c r="AE2164" s="1" t="s">
        <v>1914</v>
      </c>
      <c r="AF2164" s="1" t="s">
        <v>5</v>
      </c>
      <c r="AG2164">
        <f t="shared" si="60"/>
        <v>0</v>
      </c>
    </row>
    <row r="2165" spans="27:33" hidden="1" x14ac:dyDescent="0.25">
      <c r="AA2165" t="s">
        <v>1055</v>
      </c>
      <c r="AB2165" s="1" t="s">
        <v>13</v>
      </c>
      <c r="AC2165" s="1" t="s">
        <v>11</v>
      </c>
      <c r="AD2165" s="1" t="s">
        <v>7</v>
      </c>
      <c r="AE2165" s="1" t="s">
        <v>1919</v>
      </c>
      <c r="AF2165" s="1" t="s">
        <v>1</v>
      </c>
      <c r="AG2165">
        <f t="shared" si="60"/>
        <v>0</v>
      </c>
    </row>
    <row r="2166" spans="27:33" hidden="1" x14ac:dyDescent="0.25">
      <c r="AA2166" t="s">
        <v>1298</v>
      </c>
      <c r="AB2166" s="1" t="s">
        <v>9</v>
      </c>
      <c r="AC2166" s="1" t="s">
        <v>11</v>
      </c>
      <c r="AD2166" s="1" t="s">
        <v>1921</v>
      </c>
      <c r="AE2166" s="1" t="s">
        <v>1</v>
      </c>
      <c r="AF2166" s="1" t="s">
        <v>3</v>
      </c>
      <c r="AG2166">
        <f t="shared" si="60"/>
        <v>0</v>
      </c>
    </row>
    <row r="2167" spans="27:33" hidden="1" x14ac:dyDescent="0.25">
      <c r="AA2167" t="s">
        <v>1408</v>
      </c>
      <c r="AB2167" s="1" t="s">
        <v>9</v>
      </c>
      <c r="AC2167" s="1" t="s">
        <v>8</v>
      </c>
      <c r="AD2167" s="1" t="s">
        <v>7</v>
      </c>
      <c r="AE2167" s="1" t="s">
        <v>9</v>
      </c>
      <c r="AF2167" s="1" t="s">
        <v>5</v>
      </c>
      <c r="AG2167">
        <f t="shared" si="60"/>
        <v>0</v>
      </c>
    </row>
    <row r="2168" spans="27:33" hidden="1" x14ac:dyDescent="0.25">
      <c r="AA2168" t="s">
        <v>501</v>
      </c>
      <c r="AB2168" s="1" t="s">
        <v>0</v>
      </c>
      <c r="AC2168" s="1" t="s">
        <v>8</v>
      </c>
      <c r="AD2168" s="1" t="s">
        <v>3</v>
      </c>
      <c r="AE2168" s="1" t="s">
        <v>2</v>
      </c>
      <c r="AF2168" s="1" t="s">
        <v>10</v>
      </c>
      <c r="AG2168">
        <f t="shared" si="60"/>
        <v>0</v>
      </c>
    </row>
    <row r="2169" spans="27:33" hidden="1" x14ac:dyDescent="0.25">
      <c r="AA2169" t="s">
        <v>1083</v>
      </c>
      <c r="AB2169" s="1" t="s">
        <v>13</v>
      </c>
      <c r="AC2169" s="1" t="s">
        <v>10</v>
      </c>
      <c r="AD2169" s="1" t="s">
        <v>3</v>
      </c>
      <c r="AE2169" s="1" t="s">
        <v>4</v>
      </c>
      <c r="AF2169" s="1" t="s">
        <v>5</v>
      </c>
      <c r="AG2169">
        <f t="shared" si="60"/>
        <v>0</v>
      </c>
    </row>
    <row r="2170" spans="27:33" hidden="1" x14ac:dyDescent="0.25">
      <c r="AA2170" t="s">
        <v>1849</v>
      </c>
      <c r="AB2170" s="1" t="s">
        <v>1919</v>
      </c>
      <c r="AC2170" s="1" t="s">
        <v>10</v>
      </c>
      <c r="AD2170" s="1" t="s">
        <v>7</v>
      </c>
      <c r="AE2170" s="1" t="s">
        <v>5</v>
      </c>
      <c r="AF2170" s="1" t="s">
        <v>2</v>
      </c>
      <c r="AG2170">
        <f t="shared" si="60"/>
        <v>0</v>
      </c>
    </row>
    <row r="2171" spans="27:33" hidden="1" x14ac:dyDescent="0.25">
      <c r="AA2171" t="s">
        <v>1268</v>
      </c>
      <c r="AB2171" s="1" t="s">
        <v>9</v>
      </c>
      <c r="AC2171" s="1" t="s">
        <v>1</v>
      </c>
      <c r="AD2171" s="1" t="s">
        <v>3</v>
      </c>
      <c r="AE2171" s="1" t="s">
        <v>0</v>
      </c>
      <c r="AF2171" s="1" t="s">
        <v>5</v>
      </c>
      <c r="AG2171">
        <f t="shared" si="60"/>
        <v>0</v>
      </c>
    </row>
    <row r="2172" spans="27:33" hidden="1" x14ac:dyDescent="0.25">
      <c r="AA2172" t="s">
        <v>595</v>
      </c>
      <c r="AB2172" s="1" t="s">
        <v>11</v>
      </c>
      <c r="AC2172" s="1" t="s">
        <v>2</v>
      </c>
      <c r="AD2172" s="1" t="s">
        <v>4</v>
      </c>
      <c r="AE2172" s="1" t="s">
        <v>1</v>
      </c>
      <c r="AF2172" s="1" t="s">
        <v>3</v>
      </c>
      <c r="AG2172">
        <f t="shared" si="60"/>
        <v>0</v>
      </c>
    </row>
    <row r="2173" spans="27:33" hidden="1" x14ac:dyDescent="0.25">
      <c r="AA2173" t="s">
        <v>483</v>
      </c>
      <c r="AB2173" s="1" t="s">
        <v>0</v>
      </c>
      <c r="AC2173" s="1" t="s">
        <v>3</v>
      </c>
      <c r="AD2173" s="1" t="s">
        <v>8</v>
      </c>
      <c r="AE2173" s="1" t="s">
        <v>11</v>
      </c>
      <c r="AF2173" s="1" t="s">
        <v>7</v>
      </c>
      <c r="AG2173">
        <f t="shared" si="60"/>
        <v>0</v>
      </c>
    </row>
    <row r="2174" spans="27:33" hidden="1" x14ac:dyDescent="0.25">
      <c r="AA2174" t="s">
        <v>1481</v>
      </c>
      <c r="AB2174" s="1" t="s">
        <v>3</v>
      </c>
      <c r="AC2174" s="1" t="s">
        <v>10</v>
      </c>
      <c r="AD2174" s="1" t="s">
        <v>1920</v>
      </c>
      <c r="AE2174" s="1" t="s">
        <v>7</v>
      </c>
      <c r="AF2174" s="1" t="s">
        <v>11</v>
      </c>
      <c r="AG2174">
        <f t="shared" si="60"/>
        <v>0</v>
      </c>
    </row>
    <row r="2175" spans="27:33" hidden="1" x14ac:dyDescent="0.25">
      <c r="AA2175" t="s">
        <v>2250</v>
      </c>
      <c r="AB2175" s="1" t="s">
        <v>0</v>
      </c>
      <c r="AC2175" s="1" t="s">
        <v>11</v>
      </c>
      <c r="AD2175" s="1" t="s">
        <v>1914</v>
      </c>
      <c r="AE2175" s="1" t="s">
        <v>5</v>
      </c>
      <c r="AF2175" s="1" t="s">
        <v>6</v>
      </c>
      <c r="AG2175">
        <f t="shared" si="60"/>
        <v>0</v>
      </c>
    </row>
    <row r="2176" spans="27:33" hidden="1" x14ac:dyDescent="0.25">
      <c r="AA2176" t="s">
        <v>1332</v>
      </c>
      <c r="AB2176" s="1" t="s">
        <v>9</v>
      </c>
      <c r="AC2176" s="1" t="s">
        <v>10</v>
      </c>
      <c r="AD2176" s="1" t="s">
        <v>6</v>
      </c>
      <c r="AE2176" s="1" t="s">
        <v>1921</v>
      </c>
      <c r="AF2176" s="1" t="s">
        <v>5</v>
      </c>
      <c r="AG2176">
        <f t="shared" si="60"/>
        <v>0</v>
      </c>
    </row>
    <row r="2177" spans="27:33" hidden="1" x14ac:dyDescent="0.25">
      <c r="AA2177" t="s">
        <v>1646</v>
      </c>
      <c r="AB2177" s="1" t="s">
        <v>4</v>
      </c>
      <c r="AC2177" s="1" t="s">
        <v>1</v>
      </c>
      <c r="AD2177" s="1" t="s">
        <v>10</v>
      </c>
      <c r="AE2177" s="1" t="s">
        <v>1920</v>
      </c>
      <c r="AF2177" s="1" t="s">
        <v>1</v>
      </c>
      <c r="AG2177">
        <f t="shared" si="60"/>
        <v>0</v>
      </c>
    </row>
    <row r="2178" spans="27:33" hidden="1" x14ac:dyDescent="0.25">
      <c r="AA2178" t="s">
        <v>235</v>
      </c>
      <c r="AB2178" s="1" t="s">
        <v>1914</v>
      </c>
      <c r="AC2178" s="1" t="s">
        <v>5</v>
      </c>
      <c r="AD2178" s="1" t="s">
        <v>3</v>
      </c>
      <c r="AE2178" s="1" t="s">
        <v>1915</v>
      </c>
      <c r="AF2178" s="1" t="s">
        <v>11</v>
      </c>
      <c r="AG2178">
        <f t="shared" si="60"/>
        <v>0</v>
      </c>
    </row>
    <row r="2179" spans="27:33" hidden="1" x14ac:dyDescent="0.25">
      <c r="AA2179" t="s">
        <v>367</v>
      </c>
      <c r="AB2179" s="1" t="s">
        <v>0</v>
      </c>
      <c r="AC2179" s="1" t="s">
        <v>11</v>
      </c>
      <c r="AD2179" s="1" t="s">
        <v>3</v>
      </c>
      <c r="AE2179" s="1" t="s">
        <v>10</v>
      </c>
      <c r="AF2179" s="1" t="s">
        <v>5</v>
      </c>
      <c r="AG2179">
        <f t="shared" ref="AG2179:AG2242" si="61">IF(AND(Z2179&gt;0,Z2179&lt;7),AG2178+1,0)</f>
        <v>0</v>
      </c>
    </row>
    <row r="2180" spans="27:33" hidden="1" x14ac:dyDescent="0.25">
      <c r="AA2180" t="s">
        <v>1479</v>
      </c>
      <c r="AB2180" s="1" t="s">
        <v>3</v>
      </c>
      <c r="AC2180" s="1" t="s">
        <v>10</v>
      </c>
      <c r="AD2180" s="1" t="s">
        <v>11</v>
      </c>
      <c r="AE2180" s="1" t="s">
        <v>1921</v>
      </c>
      <c r="AF2180" s="1" t="s">
        <v>5</v>
      </c>
      <c r="AG2180">
        <f t="shared" si="61"/>
        <v>0</v>
      </c>
    </row>
    <row r="2181" spans="27:33" hidden="1" x14ac:dyDescent="0.25">
      <c r="AA2181" t="s">
        <v>1235</v>
      </c>
      <c r="AB2181" s="1" t="s">
        <v>5</v>
      </c>
      <c r="AC2181" s="1" t="s">
        <v>2</v>
      </c>
      <c r="AD2181" s="1" t="s">
        <v>1</v>
      </c>
      <c r="AE2181" s="1" t="s">
        <v>1915</v>
      </c>
      <c r="AF2181" s="1" t="s">
        <v>5</v>
      </c>
      <c r="AG2181">
        <f t="shared" si="61"/>
        <v>0</v>
      </c>
    </row>
    <row r="2182" spans="27:33" hidden="1" x14ac:dyDescent="0.25">
      <c r="AA2182" t="s">
        <v>686</v>
      </c>
      <c r="AB2182" s="1" t="s">
        <v>1920</v>
      </c>
      <c r="AC2182" s="1" t="s">
        <v>3</v>
      </c>
      <c r="AD2182" s="1" t="s">
        <v>10</v>
      </c>
      <c r="AE2182" s="1" t="s">
        <v>1921</v>
      </c>
      <c r="AF2182" s="1" t="s">
        <v>5</v>
      </c>
      <c r="AG2182">
        <f t="shared" si="61"/>
        <v>0</v>
      </c>
    </row>
    <row r="2183" spans="27:33" hidden="1" x14ac:dyDescent="0.25">
      <c r="AA2183" t="s">
        <v>1376</v>
      </c>
      <c r="AB2183" s="1" t="s">
        <v>9</v>
      </c>
      <c r="AC2183" s="1" t="s">
        <v>5</v>
      </c>
      <c r="AD2183" s="1" t="s">
        <v>7</v>
      </c>
      <c r="AE2183" s="1" t="s">
        <v>1919</v>
      </c>
      <c r="AF2183" s="1" t="s">
        <v>5</v>
      </c>
      <c r="AG2183">
        <f t="shared" si="61"/>
        <v>0</v>
      </c>
    </row>
    <row r="2184" spans="27:33" hidden="1" x14ac:dyDescent="0.25">
      <c r="AA2184" t="s">
        <v>834</v>
      </c>
      <c r="AB2184" s="1" t="s">
        <v>1917</v>
      </c>
      <c r="AC2184" s="1" t="s">
        <v>5</v>
      </c>
      <c r="AD2184" s="1" t="s">
        <v>6</v>
      </c>
      <c r="AE2184" s="1" t="s">
        <v>3</v>
      </c>
      <c r="AF2184" s="1" t="s">
        <v>1</v>
      </c>
      <c r="AG2184">
        <f t="shared" si="61"/>
        <v>0</v>
      </c>
    </row>
    <row r="2185" spans="27:33" hidden="1" x14ac:dyDescent="0.25">
      <c r="AA2185" t="s">
        <v>1624</v>
      </c>
      <c r="AB2185" s="1" t="s">
        <v>2</v>
      </c>
      <c r="AC2185" s="1" t="s">
        <v>9</v>
      </c>
      <c r="AD2185" s="1" t="s">
        <v>3</v>
      </c>
      <c r="AE2185" s="1" t="s">
        <v>1</v>
      </c>
      <c r="AF2185" s="1" t="s">
        <v>1918</v>
      </c>
      <c r="AG2185">
        <f t="shared" si="61"/>
        <v>0</v>
      </c>
    </row>
    <row r="2186" spans="27:33" hidden="1" x14ac:dyDescent="0.25">
      <c r="AA2186" t="s">
        <v>1065</v>
      </c>
      <c r="AB2186" s="1" t="s">
        <v>13</v>
      </c>
      <c r="AC2186" s="1" t="s">
        <v>11</v>
      </c>
      <c r="AD2186" s="1" t="s">
        <v>2</v>
      </c>
      <c r="AE2186" s="1" t="s">
        <v>1</v>
      </c>
      <c r="AF2186" s="1" t="s">
        <v>3</v>
      </c>
      <c r="AG2186">
        <f t="shared" si="61"/>
        <v>0</v>
      </c>
    </row>
    <row r="2187" spans="27:33" hidden="1" x14ac:dyDescent="0.25">
      <c r="AA2187" t="s">
        <v>1902</v>
      </c>
      <c r="AB2187" s="1" t="s">
        <v>12</v>
      </c>
      <c r="AC2187" s="1" t="s">
        <v>1</v>
      </c>
      <c r="AD2187" s="1" t="s">
        <v>6</v>
      </c>
      <c r="AE2187" s="1" t="s">
        <v>15</v>
      </c>
      <c r="AF2187" s="1" t="s">
        <v>1</v>
      </c>
      <c r="AG2187">
        <f t="shared" si="61"/>
        <v>0</v>
      </c>
    </row>
    <row r="2188" spans="27:33" hidden="1" x14ac:dyDescent="0.25">
      <c r="AA2188" t="s">
        <v>2179</v>
      </c>
      <c r="AB2188" s="1" t="s">
        <v>5</v>
      </c>
      <c r="AC2188" s="1" t="s">
        <v>2</v>
      </c>
      <c r="AD2188" s="1" t="s">
        <v>0</v>
      </c>
      <c r="AE2188" s="1" t="s">
        <v>1</v>
      </c>
      <c r="AF2188" s="1" t="s">
        <v>3</v>
      </c>
      <c r="AG2188">
        <f t="shared" si="61"/>
        <v>0</v>
      </c>
    </row>
    <row r="2189" spans="27:33" hidden="1" x14ac:dyDescent="0.25">
      <c r="AA2189" t="s">
        <v>2264</v>
      </c>
      <c r="AB2189" s="1" t="s">
        <v>0</v>
      </c>
      <c r="AC2189" s="1" t="s">
        <v>5</v>
      </c>
      <c r="AD2189" s="1" t="s">
        <v>13</v>
      </c>
      <c r="AE2189" s="1" t="s">
        <v>10</v>
      </c>
      <c r="AF2189" s="1" t="s">
        <v>0</v>
      </c>
      <c r="AG2189">
        <f t="shared" si="61"/>
        <v>0</v>
      </c>
    </row>
    <row r="2190" spans="27:33" hidden="1" x14ac:dyDescent="0.25">
      <c r="AA2190" t="s">
        <v>1258</v>
      </c>
      <c r="AB2190" s="1" t="s">
        <v>9</v>
      </c>
      <c r="AC2190" s="1" t="s">
        <v>1</v>
      </c>
      <c r="AD2190" s="1" t="s">
        <v>6</v>
      </c>
      <c r="AE2190" s="1" t="s">
        <v>1915</v>
      </c>
      <c r="AF2190" s="1" t="s">
        <v>1</v>
      </c>
      <c r="AG2190">
        <f t="shared" si="61"/>
        <v>0</v>
      </c>
    </row>
    <row r="2191" spans="27:33" hidden="1" x14ac:dyDescent="0.25">
      <c r="AA2191" t="s">
        <v>536</v>
      </c>
      <c r="AB2191" s="1" t="s">
        <v>1915</v>
      </c>
      <c r="AC2191" s="1" t="s">
        <v>10</v>
      </c>
      <c r="AD2191" s="1" t="s">
        <v>5</v>
      </c>
      <c r="AE2191" s="1" t="s">
        <v>1915</v>
      </c>
      <c r="AF2191" s="1" t="s">
        <v>5</v>
      </c>
      <c r="AG2191">
        <f t="shared" si="61"/>
        <v>0</v>
      </c>
    </row>
    <row r="2192" spans="27:33" hidden="1" x14ac:dyDescent="0.25">
      <c r="AA2192" t="s">
        <v>1076</v>
      </c>
      <c r="AB2192" s="1" t="s">
        <v>13</v>
      </c>
      <c r="AC2192" s="1" t="s">
        <v>10</v>
      </c>
      <c r="AD2192" s="1" t="s">
        <v>13</v>
      </c>
      <c r="AE2192" s="1" t="s">
        <v>1</v>
      </c>
      <c r="AF2192" s="1" t="s">
        <v>3</v>
      </c>
      <c r="AG2192">
        <f t="shared" si="61"/>
        <v>0</v>
      </c>
    </row>
    <row r="2193" spans="27:33" hidden="1" x14ac:dyDescent="0.25">
      <c r="AA2193" t="s">
        <v>2319</v>
      </c>
      <c r="AB2193" s="1" t="s">
        <v>1920</v>
      </c>
      <c r="AC2193" s="1" t="s">
        <v>11</v>
      </c>
      <c r="AD2193" s="1" t="s">
        <v>8</v>
      </c>
      <c r="AE2193" s="1" t="s">
        <v>0</v>
      </c>
      <c r="AF2193" s="1" t="s">
        <v>5</v>
      </c>
      <c r="AG2193">
        <f t="shared" si="61"/>
        <v>0</v>
      </c>
    </row>
    <row r="2194" spans="27:33" hidden="1" x14ac:dyDescent="0.25">
      <c r="AA2194" t="s">
        <v>1866</v>
      </c>
      <c r="AB2194" s="1" t="s">
        <v>1919</v>
      </c>
      <c r="AC2194" s="1" t="s">
        <v>10</v>
      </c>
      <c r="AD2194" s="1" t="s">
        <v>1919</v>
      </c>
      <c r="AE2194" s="1" t="s">
        <v>1</v>
      </c>
      <c r="AF2194" s="1" t="s">
        <v>12</v>
      </c>
      <c r="AG2194">
        <f t="shared" si="61"/>
        <v>0</v>
      </c>
    </row>
    <row r="2195" spans="27:33" hidden="1" x14ac:dyDescent="0.25">
      <c r="AA2195" t="s">
        <v>2259</v>
      </c>
      <c r="AB2195" s="1" t="s">
        <v>15</v>
      </c>
      <c r="AC2195" s="1" t="s">
        <v>1</v>
      </c>
      <c r="AD2195" s="1" t="s">
        <v>9</v>
      </c>
      <c r="AE2195" s="1" t="s">
        <v>5</v>
      </c>
      <c r="AF2195" s="1" t="s">
        <v>6</v>
      </c>
      <c r="AG2195">
        <f t="shared" si="61"/>
        <v>0</v>
      </c>
    </row>
    <row r="2196" spans="27:33" hidden="1" x14ac:dyDescent="0.25">
      <c r="AA2196" t="s">
        <v>415</v>
      </c>
      <c r="AB2196" s="1" t="s">
        <v>0</v>
      </c>
      <c r="AC2196" s="1" t="s">
        <v>10</v>
      </c>
      <c r="AD2196" s="1" t="s">
        <v>2</v>
      </c>
      <c r="AE2196" s="1" t="s">
        <v>13</v>
      </c>
      <c r="AF2196" s="1" t="s">
        <v>1</v>
      </c>
      <c r="AG2196">
        <f t="shared" si="61"/>
        <v>0</v>
      </c>
    </row>
    <row r="2197" spans="27:33" hidden="1" x14ac:dyDescent="0.25">
      <c r="AA2197" t="s">
        <v>1515</v>
      </c>
      <c r="AB2197" s="1" t="s">
        <v>3</v>
      </c>
      <c r="AC2197" s="1" t="s">
        <v>8</v>
      </c>
      <c r="AD2197" s="1" t="s">
        <v>11</v>
      </c>
      <c r="AE2197" s="1" t="s">
        <v>1915</v>
      </c>
      <c r="AF2197" s="1" t="s">
        <v>5</v>
      </c>
      <c r="AG2197">
        <f t="shared" si="61"/>
        <v>0</v>
      </c>
    </row>
    <row r="2198" spans="27:33" hidden="1" x14ac:dyDescent="0.25">
      <c r="AA2198" t="s">
        <v>1193</v>
      </c>
      <c r="AB2198" s="1" t="s">
        <v>6</v>
      </c>
      <c r="AC2198" s="1" t="s">
        <v>8</v>
      </c>
      <c r="AD2198" s="1" t="s">
        <v>11</v>
      </c>
      <c r="AE2198" s="1" t="s">
        <v>1919</v>
      </c>
      <c r="AF2198" s="1" t="s">
        <v>11</v>
      </c>
      <c r="AG2198">
        <f t="shared" si="61"/>
        <v>0</v>
      </c>
    </row>
    <row r="2199" spans="27:33" hidden="1" x14ac:dyDescent="0.25">
      <c r="AA2199" t="s">
        <v>2070</v>
      </c>
      <c r="AB2199" s="1" t="s">
        <v>9</v>
      </c>
      <c r="AC2199" s="1" t="s">
        <v>1</v>
      </c>
      <c r="AD2199" s="1" t="s">
        <v>1919</v>
      </c>
      <c r="AE2199" s="1" t="s">
        <v>11</v>
      </c>
      <c r="AF2199" s="1" t="s">
        <v>2</v>
      </c>
      <c r="AG2199">
        <f t="shared" si="61"/>
        <v>0</v>
      </c>
    </row>
    <row r="2200" spans="27:33" hidden="1" x14ac:dyDescent="0.25">
      <c r="AA2200" t="s">
        <v>1089</v>
      </c>
      <c r="AB2200" s="1" t="s">
        <v>13</v>
      </c>
      <c r="AC2200" s="1" t="s">
        <v>10</v>
      </c>
      <c r="AD2200" s="1" t="s">
        <v>4</v>
      </c>
      <c r="AE2200" s="1" t="s">
        <v>3</v>
      </c>
      <c r="AF2200" s="1" t="s">
        <v>1</v>
      </c>
      <c r="AG2200">
        <f t="shared" si="61"/>
        <v>0</v>
      </c>
    </row>
    <row r="2201" spans="27:33" hidden="1" x14ac:dyDescent="0.25">
      <c r="AA2201" t="s">
        <v>1723</v>
      </c>
      <c r="AB2201" s="1" t="s">
        <v>4</v>
      </c>
      <c r="AC2201" s="1" t="s">
        <v>5</v>
      </c>
      <c r="AD2201" s="1" t="s">
        <v>0</v>
      </c>
      <c r="AE2201" s="1" t="s">
        <v>1917</v>
      </c>
      <c r="AF2201" s="1" t="s">
        <v>5</v>
      </c>
      <c r="AG2201">
        <f t="shared" si="61"/>
        <v>0</v>
      </c>
    </row>
    <row r="2202" spans="27:33" hidden="1" x14ac:dyDescent="0.25">
      <c r="AA2202" t="s">
        <v>1210</v>
      </c>
      <c r="AB2202" s="1" t="s">
        <v>5</v>
      </c>
      <c r="AC2202" s="1" t="s">
        <v>15</v>
      </c>
      <c r="AD2202" s="1" t="s">
        <v>11</v>
      </c>
      <c r="AE2202" s="1" t="s">
        <v>4</v>
      </c>
      <c r="AF2202" s="1" t="s">
        <v>11</v>
      </c>
      <c r="AG2202">
        <f t="shared" si="61"/>
        <v>0</v>
      </c>
    </row>
    <row r="2203" spans="27:33" hidden="1" x14ac:dyDescent="0.25">
      <c r="AA2203" t="s">
        <v>1772</v>
      </c>
      <c r="AB2203" s="1" t="s">
        <v>4</v>
      </c>
      <c r="AC2203" s="1" t="s">
        <v>3</v>
      </c>
      <c r="AD2203" s="1" t="s">
        <v>5</v>
      </c>
      <c r="AE2203" s="1" t="s">
        <v>6</v>
      </c>
      <c r="AF2203" s="1" t="s">
        <v>5</v>
      </c>
      <c r="AG2203">
        <f t="shared" si="61"/>
        <v>0</v>
      </c>
    </row>
    <row r="2204" spans="27:33" hidden="1" x14ac:dyDescent="0.25">
      <c r="AA2204" t="s">
        <v>1310</v>
      </c>
      <c r="AB2204" s="1" t="s">
        <v>9</v>
      </c>
      <c r="AC2204" s="1" t="s">
        <v>11</v>
      </c>
      <c r="AD2204" s="1" t="s">
        <v>3</v>
      </c>
      <c r="AE2204" s="1" t="s">
        <v>0</v>
      </c>
      <c r="AF2204" s="1" t="s">
        <v>1</v>
      </c>
      <c r="AG2204">
        <f t="shared" si="61"/>
        <v>0</v>
      </c>
    </row>
    <row r="2205" spans="27:33" hidden="1" x14ac:dyDescent="0.25">
      <c r="AA2205" t="s">
        <v>1626</v>
      </c>
      <c r="AB2205" s="1" t="s">
        <v>2</v>
      </c>
      <c r="AC2205" s="1" t="s">
        <v>8</v>
      </c>
      <c r="AD2205" s="1" t="s">
        <v>1</v>
      </c>
      <c r="AE2205" s="1" t="s">
        <v>1919</v>
      </c>
      <c r="AF2205" s="1" t="s">
        <v>11</v>
      </c>
      <c r="AG2205">
        <f t="shared" si="61"/>
        <v>0</v>
      </c>
    </row>
    <row r="2206" spans="27:33" hidden="1" x14ac:dyDescent="0.25">
      <c r="AA2206" t="s">
        <v>1597</v>
      </c>
      <c r="AB2206" s="1" t="s">
        <v>2</v>
      </c>
      <c r="AC2206" s="1" t="s">
        <v>10</v>
      </c>
      <c r="AD2206" s="1" t="s">
        <v>5</v>
      </c>
      <c r="AE2206" s="1" t="s">
        <v>8</v>
      </c>
      <c r="AF2206" s="1" t="s">
        <v>1922</v>
      </c>
      <c r="AG2206">
        <f t="shared" si="61"/>
        <v>0</v>
      </c>
    </row>
    <row r="2207" spans="27:33" hidden="1" x14ac:dyDescent="0.25">
      <c r="AA2207" t="s">
        <v>1905</v>
      </c>
      <c r="AB2207" s="1" t="s">
        <v>12</v>
      </c>
      <c r="AC2207" s="1" t="s">
        <v>1</v>
      </c>
      <c r="AD2207" s="1" t="s">
        <v>2</v>
      </c>
      <c r="AE2207" s="1" t="s">
        <v>0</v>
      </c>
      <c r="AF2207" s="1" t="s">
        <v>1</v>
      </c>
      <c r="AG2207">
        <f t="shared" si="61"/>
        <v>0</v>
      </c>
    </row>
    <row r="2208" spans="27:33" hidden="1" x14ac:dyDescent="0.25">
      <c r="AA2208" t="s">
        <v>1878</v>
      </c>
      <c r="AB2208" s="1" t="s">
        <v>1919</v>
      </c>
      <c r="AC2208" s="1" t="s">
        <v>8</v>
      </c>
      <c r="AD2208" s="1" t="s">
        <v>7</v>
      </c>
      <c r="AE2208" s="1" t="s">
        <v>4</v>
      </c>
      <c r="AF2208" s="1" t="s">
        <v>5</v>
      </c>
      <c r="AG2208">
        <f t="shared" si="61"/>
        <v>0</v>
      </c>
    </row>
    <row r="2209" spans="27:33" hidden="1" x14ac:dyDescent="0.25">
      <c r="AA2209" t="s">
        <v>1129</v>
      </c>
      <c r="AB2209" s="1" t="s">
        <v>13</v>
      </c>
      <c r="AC2209" s="1" t="s">
        <v>8</v>
      </c>
      <c r="AD2209" s="1" t="s">
        <v>6</v>
      </c>
      <c r="AE2209" s="1" t="s">
        <v>1915</v>
      </c>
      <c r="AF2209" s="1" t="s">
        <v>5</v>
      </c>
      <c r="AG2209">
        <f t="shared" si="61"/>
        <v>0</v>
      </c>
    </row>
    <row r="2210" spans="27:33" hidden="1" x14ac:dyDescent="0.25">
      <c r="AA2210" t="s">
        <v>857</v>
      </c>
      <c r="AB2210" s="1" t="s">
        <v>10</v>
      </c>
      <c r="AC2210" s="1" t="s">
        <v>0</v>
      </c>
      <c r="AD2210" s="1" t="s">
        <v>4</v>
      </c>
      <c r="AE2210" s="1" t="s">
        <v>8</v>
      </c>
      <c r="AF2210" s="1" t="s">
        <v>2</v>
      </c>
      <c r="AG2210">
        <f t="shared" si="61"/>
        <v>0</v>
      </c>
    </row>
    <row r="2211" spans="27:33" hidden="1" x14ac:dyDescent="0.25">
      <c r="AA2211" t="s">
        <v>715</v>
      </c>
      <c r="AB2211" s="1" t="s">
        <v>1921</v>
      </c>
      <c r="AC2211" s="1" t="s">
        <v>1</v>
      </c>
      <c r="AD2211" s="1" t="s">
        <v>13</v>
      </c>
      <c r="AE2211" s="1" t="s">
        <v>13</v>
      </c>
      <c r="AF2211" s="1" t="s">
        <v>1</v>
      </c>
      <c r="AG2211">
        <f t="shared" si="61"/>
        <v>0</v>
      </c>
    </row>
    <row r="2212" spans="27:33" hidden="1" x14ac:dyDescent="0.25">
      <c r="AA2212" t="s">
        <v>2315</v>
      </c>
      <c r="AB2212" s="1" t="s">
        <v>1914</v>
      </c>
      <c r="AC2212" s="1" t="s">
        <v>11</v>
      </c>
      <c r="AD2212" s="1" t="s">
        <v>4</v>
      </c>
      <c r="AE2212" s="1" t="s">
        <v>8</v>
      </c>
      <c r="AF2212" s="1" t="s">
        <v>6</v>
      </c>
      <c r="AG2212">
        <f t="shared" si="61"/>
        <v>0</v>
      </c>
    </row>
    <row r="2213" spans="27:33" hidden="1" x14ac:dyDescent="0.25">
      <c r="AA2213" t="s">
        <v>980</v>
      </c>
      <c r="AB2213" s="1" t="s">
        <v>7</v>
      </c>
      <c r="AC2213" s="1" t="s">
        <v>7</v>
      </c>
      <c r="AD2213" s="1" t="s">
        <v>1</v>
      </c>
      <c r="AE2213" s="1" t="s">
        <v>1919</v>
      </c>
      <c r="AF2213" s="1" t="s">
        <v>11</v>
      </c>
      <c r="AG2213">
        <f t="shared" si="61"/>
        <v>0</v>
      </c>
    </row>
    <row r="2214" spans="27:33" hidden="1" x14ac:dyDescent="0.25">
      <c r="AA2214" t="s">
        <v>654</v>
      </c>
      <c r="AB2214" s="1" t="s">
        <v>1920</v>
      </c>
      <c r="AC2214" s="1" t="s">
        <v>10</v>
      </c>
      <c r="AD2214" s="1" t="s">
        <v>2</v>
      </c>
      <c r="AE2214" s="1" t="s">
        <v>0</v>
      </c>
      <c r="AF2214" s="1" t="s">
        <v>5</v>
      </c>
      <c r="AG2214">
        <f t="shared" si="61"/>
        <v>0</v>
      </c>
    </row>
    <row r="2215" spans="27:33" hidden="1" x14ac:dyDescent="0.25">
      <c r="AA2215" t="s">
        <v>227</v>
      </c>
      <c r="AB2215" s="1" t="s">
        <v>1914</v>
      </c>
      <c r="AC2215" s="1" t="s">
        <v>5</v>
      </c>
      <c r="AD2215" s="1" t="s">
        <v>7</v>
      </c>
      <c r="AE2215" s="1" t="s">
        <v>2</v>
      </c>
      <c r="AF2215" s="1" t="s">
        <v>1</v>
      </c>
      <c r="AG2215">
        <f t="shared" si="61"/>
        <v>0</v>
      </c>
    </row>
    <row r="2216" spans="27:33" hidden="1" x14ac:dyDescent="0.25">
      <c r="AA2216" t="s">
        <v>869</v>
      </c>
      <c r="AB2216" s="1" t="s">
        <v>10</v>
      </c>
      <c r="AC2216" s="1" t="s">
        <v>6</v>
      </c>
      <c r="AD2216" s="1" t="s">
        <v>1921</v>
      </c>
      <c r="AE2216" s="1" t="s">
        <v>7</v>
      </c>
      <c r="AF2216" s="1" t="s">
        <v>11</v>
      </c>
      <c r="AG2216">
        <f t="shared" si="61"/>
        <v>0</v>
      </c>
    </row>
    <row r="2217" spans="27:33" hidden="1" x14ac:dyDescent="0.25">
      <c r="AA2217" t="s">
        <v>868</v>
      </c>
      <c r="AB2217" s="1" t="s">
        <v>10</v>
      </c>
      <c r="AC2217" s="1" t="s">
        <v>6</v>
      </c>
      <c r="AD2217" s="1" t="s">
        <v>1915</v>
      </c>
      <c r="AE2217" s="1" t="s">
        <v>10</v>
      </c>
      <c r="AF2217" s="1" t="s">
        <v>5</v>
      </c>
      <c r="AG2217">
        <f t="shared" si="61"/>
        <v>0</v>
      </c>
    </row>
    <row r="2218" spans="27:33" hidden="1" x14ac:dyDescent="0.25">
      <c r="AA2218" t="s">
        <v>1434</v>
      </c>
      <c r="AB2218" s="1" t="s">
        <v>3</v>
      </c>
      <c r="AC2218" s="1" t="s">
        <v>1</v>
      </c>
      <c r="AD2218" s="1" t="s">
        <v>7</v>
      </c>
      <c r="AE2218" s="1" t="s">
        <v>7</v>
      </c>
      <c r="AF2218" s="1" t="s">
        <v>1918</v>
      </c>
      <c r="AG2218">
        <f t="shared" si="61"/>
        <v>0</v>
      </c>
    </row>
    <row r="2219" spans="27:33" hidden="1" x14ac:dyDescent="0.25">
      <c r="AA2219" t="s">
        <v>218</v>
      </c>
      <c r="AB2219" s="1" t="s">
        <v>1914</v>
      </c>
      <c r="AC2219" s="1" t="s">
        <v>7</v>
      </c>
      <c r="AD2219" s="1" t="s">
        <v>8</v>
      </c>
      <c r="AE2219" s="1" t="s">
        <v>2</v>
      </c>
      <c r="AF2219" s="1" t="s">
        <v>1</v>
      </c>
      <c r="AG2219">
        <f t="shared" si="61"/>
        <v>0</v>
      </c>
    </row>
    <row r="2220" spans="27:33" hidden="1" x14ac:dyDescent="0.25">
      <c r="AA2220" t="s">
        <v>270</v>
      </c>
      <c r="AB2220" s="1" t="s">
        <v>1914</v>
      </c>
      <c r="AC2220" s="1" t="s">
        <v>8</v>
      </c>
      <c r="AD2220" s="1" t="s">
        <v>1920</v>
      </c>
      <c r="AE2220" s="1" t="s">
        <v>11</v>
      </c>
      <c r="AF2220" s="1" t="s">
        <v>4</v>
      </c>
      <c r="AG2220">
        <f t="shared" si="61"/>
        <v>0</v>
      </c>
    </row>
    <row r="2221" spans="27:33" hidden="1" x14ac:dyDescent="0.25">
      <c r="AA2221" t="s">
        <v>1237</v>
      </c>
      <c r="AB2221" s="1" t="s">
        <v>5</v>
      </c>
      <c r="AC2221" s="1" t="s">
        <v>2</v>
      </c>
      <c r="AD2221" s="1" t="s">
        <v>4</v>
      </c>
      <c r="AE2221" s="1" t="s">
        <v>10</v>
      </c>
      <c r="AF2221" s="1" t="s">
        <v>1</v>
      </c>
      <c r="AG2221">
        <f t="shared" si="61"/>
        <v>0</v>
      </c>
    </row>
    <row r="2222" spans="27:33" hidden="1" x14ac:dyDescent="0.25">
      <c r="AA2222" t="s">
        <v>1092</v>
      </c>
      <c r="AB2222" s="1" t="s">
        <v>13</v>
      </c>
      <c r="AC2222" s="1" t="s">
        <v>10</v>
      </c>
      <c r="AD2222" s="1" t="s">
        <v>1922</v>
      </c>
      <c r="AE2222" s="1" t="s">
        <v>4</v>
      </c>
      <c r="AF2222" s="1" t="s">
        <v>5</v>
      </c>
      <c r="AG2222">
        <f t="shared" si="61"/>
        <v>0</v>
      </c>
    </row>
    <row r="2223" spans="27:33" hidden="1" x14ac:dyDescent="0.25">
      <c r="AA2223" t="s">
        <v>1135</v>
      </c>
      <c r="AB2223" s="1" t="s">
        <v>13</v>
      </c>
      <c r="AC2223" s="1" t="s">
        <v>8</v>
      </c>
      <c r="AD2223" s="1" t="s">
        <v>4</v>
      </c>
      <c r="AE2223" s="1" t="s">
        <v>1</v>
      </c>
      <c r="AF2223" s="1" t="s">
        <v>3</v>
      </c>
      <c r="AG2223">
        <f t="shared" si="61"/>
        <v>0</v>
      </c>
    </row>
    <row r="2224" spans="27:33" hidden="1" x14ac:dyDescent="0.25">
      <c r="AA2224" t="s">
        <v>2063</v>
      </c>
      <c r="AB2224" s="1" t="s">
        <v>1</v>
      </c>
      <c r="AC2224" s="1" t="s">
        <v>11</v>
      </c>
      <c r="AD2224" s="1" t="s">
        <v>3</v>
      </c>
      <c r="AE2224" s="1" t="s">
        <v>11</v>
      </c>
      <c r="AF2224" s="1" t="s">
        <v>5</v>
      </c>
      <c r="AG2224">
        <f t="shared" si="61"/>
        <v>0</v>
      </c>
    </row>
    <row r="2225" spans="27:33" hidden="1" x14ac:dyDescent="0.25">
      <c r="AA2225" t="s">
        <v>548</v>
      </c>
      <c r="AB2225" s="1" t="s">
        <v>1915</v>
      </c>
      <c r="AC2225" s="1" t="s">
        <v>5</v>
      </c>
      <c r="AD2225" s="1" t="s">
        <v>6</v>
      </c>
      <c r="AE2225" s="1" t="s">
        <v>1915</v>
      </c>
      <c r="AF2225" s="1" t="s">
        <v>11</v>
      </c>
      <c r="AG2225">
        <f t="shared" si="61"/>
        <v>0</v>
      </c>
    </row>
    <row r="2226" spans="27:33" hidden="1" x14ac:dyDescent="0.25">
      <c r="AA2226" t="s">
        <v>2183</v>
      </c>
      <c r="AB2226" s="1" t="s">
        <v>3</v>
      </c>
      <c r="AC2226" s="1" t="s">
        <v>11</v>
      </c>
      <c r="AD2226" s="1" t="s">
        <v>15</v>
      </c>
      <c r="AE2226" s="1" t="s">
        <v>5</v>
      </c>
      <c r="AF2226" s="1" t="s">
        <v>6</v>
      </c>
      <c r="AG2226">
        <f t="shared" si="61"/>
        <v>0</v>
      </c>
    </row>
    <row r="2227" spans="27:33" hidden="1" x14ac:dyDescent="0.25">
      <c r="AA2227" t="s">
        <v>1191</v>
      </c>
      <c r="AB2227" s="1" t="s">
        <v>6</v>
      </c>
      <c r="AC2227" s="1" t="s">
        <v>8</v>
      </c>
      <c r="AD2227" s="1" t="s">
        <v>11</v>
      </c>
      <c r="AE2227" s="1" t="s">
        <v>3</v>
      </c>
      <c r="AF2227" s="1" t="s">
        <v>1</v>
      </c>
      <c r="AG2227">
        <f t="shared" si="61"/>
        <v>0</v>
      </c>
    </row>
    <row r="2228" spans="27:33" hidden="1" x14ac:dyDescent="0.25">
      <c r="AA2228" t="s">
        <v>1499</v>
      </c>
      <c r="AB2228" s="1" t="s">
        <v>3</v>
      </c>
      <c r="AC2228" s="1" t="s">
        <v>5</v>
      </c>
      <c r="AD2228" s="1" t="s">
        <v>6</v>
      </c>
      <c r="AE2228" s="1" t="s">
        <v>0</v>
      </c>
      <c r="AF2228" s="1" t="s">
        <v>1</v>
      </c>
      <c r="AG2228">
        <f t="shared" si="61"/>
        <v>0</v>
      </c>
    </row>
    <row r="2229" spans="27:33" hidden="1" x14ac:dyDescent="0.25">
      <c r="AA2229" t="s">
        <v>503</v>
      </c>
      <c r="AB2229" s="1" t="s">
        <v>0</v>
      </c>
      <c r="AC2229" s="1" t="s">
        <v>8</v>
      </c>
      <c r="AD2229" s="1" t="s">
        <v>3</v>
      </c>
      <c r="AE2229" s="1" t="s">
        <v>1919</v>
      </c>
      <c r="AF2229" s="1" t="s">
        <v>1</v>
      </c>
      <c r="AG2229">
        <f t="shared" si="61"/>
        <v>0</v>
      </c>
    </row>
    <row r="2230" spans="27:33" hidden="1" x14ac:dyDescent="0.25">
      <c r="AA2230" t="s">
        <v>429</v>
      </c>
      <c r="AB2230" s="1" t="s">
        <v>0</v>
      </c>
      <c r="AC2230" s="1" t="s">
        <v>5</v>
      </c>
      <c r="AD2230" s="1" t="s">
        <v>1914</v>
      </c>
      <c r="AE2230" s="1" t="s">
        <v>3</v>
      </c>
      <c r="AF2230" s="1" t="s">
        <v>1</v>
      </c>
      <c r="AG2230">
        <f t="shared" si="61"/>
        <v>0</v>
      </c>
    </row>
    <row r="2231" spans="27:33" hidden="1" x14ac:dyDescent="0.25">
      <c r="AA2231" t="s">
        <v>1286</v>
      </c>
      <c r="AB2231" s="1" t="s">
        <v>9</v>
      </c>
      <c r="AC2231" s="1" t="s">
        <v>1</v>
      </c>
      <c r="AD2231" s="1" t="s">
        <v>4</v>
      </c>
      <c r="AE2231" s="1" t="s">
        <v>11</v>
      </c>
      <c r="AF2231" s="1" t="s">
        <v>5</v>
      </c>
      <c r="AG2231">
        <f t="shared" si="61"/>
        <v>0</v>
      </c>
    </row>
    <row r="2232" spans="27:33" hidden="1" x14ac:dyDescent="0.25">
      <c r="AA2232" t="s">
        <v>1887</v>
      </c>
      <c r="AB2232" s="1" t="s">
        <v>1918</v>
      </c>
      <c r="AC2232" s="1" t="s">
        <v>11</v>
      </c>
      <c r="AD2232" s="1" t="s">
        <v>3</v>
      </c>
      <c r="AE2232" s="1" t="s">
        <v>13</v>
      </c>
      <c r="AF2232" s="1" t="s">
        <v>5</v>
      </c>
      <c r="AG2232">
        <f t="shared" si="61"/>
        <v>0</v>
      </c>
    </row>
    <row r="2233" spans="27:33" hidden="1" x14ac:dyDescent="0.25">
      <c r="AA2233" t="s">
        <v>636</v>
      </c>
      <c r="AB2233" s="1" t="s">
        <v>1920</v>
      </c>
      <c r="AC2233" s="1" t="s">
        <v>11</v>
      </c>
      <c r="AD2233" s="1" t="s">
        <v>8</v>
      </c>
      <c r="AE2233" s="1" t="s">
        <v>1915</v>
      </c>
      <c r="AF2233" s="1" t="s">
        <v>5</v>
      </c>
      <c r="AG2233">
        <f t="shared" si="61"/>
        <v>0</v>
      </c>
    </row>
    <row r="2234" spans="27:33" hidden="1" x14ac:dyDescent="0.25">
      <c r="AA2234" t="s">
        <v>1212</v>
      </c>
      <c r="AB2234" s="1" t="s">
        <v>5</v>
      </c>
      <c r="AC2234" s="1" t="s">
        <v>15</v>
      </c>
      <c r="AD2234" s="1" t="s">
        <v>10</v>
      </c>
      <c r="AE2234" s="1" t="s">
        <v>1919</v>
      </c>
      <c r="AF2234" s="1" t="s">
        <v>1</v>
      </c>
      <c r="AG2234">
        <f t="shared" si="61"/>
        <v>0</v>
      </c>
    </row>
    <row r="2235" spans="27:33" hidden="1" x14ac:dyDescent="0.25">
      <c r="AA2235" t="s">
        <v>326</v>
      </c>
      <c r="AB2235" s="1" t="s">
        <v>0</v>
      </c>
      <c r="AC2235" s="1" t="s">
        <v>1</v>
      </c>
      <c r="AD2235" s="1" t="s">
        <v>3</v>
      </c>
      <c r="AE2235" s="1" t="s">
        <v>1915</v>
      </c>
      <c r="AF2235" s="1" t="s">
        <v>5</v>
      </c>
      <c r="AG2235">
        <f t="shared" si="61"/>
        <v>0</v>
      </c>
    </row>
    <row r="2236" spans="27:33" hidden="1" x14ac:dyDescent="0.25">
      <c r="AA2236" t="s">
        <v>2115</v>
      </c>
      <c r="AB2236" s="1" t="s">
        <v>13</v>
      </c>
      <c r="AC2236" s="1" t="s">
        <v>10</v>
      </c>
      <c r="AD2236" s="1" t="s">
        <v>4</v>
      </c>
      <c r="AE2236" s="1" t="s">
        <v>10</v>
      </c>
      <c r="AF2236" s="1" t="s">
        <v>6</v>
      </c>
      <c r="AG2236">
        <f t="shared" si="61"/>
        <v>0</v>
      </c>
    </row>
    <row r="2237" spans="27:33" hidden="1" x14ac:dyDescent="0.25">
      <c r="AA2237" t="s">
        <v>926</v>
      </c>
      <c r="AB2237" s="1" t="s">
        <v>7</v>
      </c>
      <c r="AC2237" s="1" t="s">
        <v>1</v>
      </c>
      <c r="AD2237" s="1" t="s">
        <v>9</v>
      </c>
      <c r="AE2237" s="1" t="s">
        <v>2</v>
      </c>
      <c r="AF2237" s="1" t="s">
        <v>5</v>
      </c>
      <c r="AG2237">
        <f t="shared" si="61"/>
        <v>0</v>
      </c>
    </row>
    <row r="2238" spans="27:33" hidden="1" x14ac:dyDescent="0.25">
      <c r="AA2238" t="s">
        <v>1017</v>
      </c>
      <c r="AB2238" s="1" t="s">
        <v>13</v>
      </c>
      <c r="AC2238" s="1" t="s">
        <v>1</v>
      </c>
      <c r="AD2238" s="1" t="s">
        <v>13</v>
      </c>
      <c r="AE2238" s="1" t="s">
        <v>1914</v>
      </c>
      <c r="AF2238" s="1" t="s">
        <v>1</v>
      </c>
      <c r="AG2238">
        <f t="shared" si="61"/>
        <v>0</v>
      </c>
    </row>
    <row r="2239" spans="27:33" hidden="1" x14ac:dyDescent="0.25">
      <c r="AA2239" t="s">
        <v>1910</v>
      </c>
      <c r="AB2239" s="1" t="s">
        <v>12</v>
      </c>
      <c r="AC2239" s="1" t="s">
        <v>8</v>
      </c>
      <c r="AD2239" s="1" t="s">
        <v>13</v>
      </c>
      <c r="AE2239" s="1" t="s">
        <v>1914</v>
      </c>
      <c r="AF2239" s="1" t="s">
        <v>1</v>
      </c>
      <c r="AG2239">
        <f t="shared" si="61"/>
        <v>0</v>
      </c>
    </row>
    <row r="2240" spans="27:33" hidden="1" x14ac:dyDescent="0.25">
      <c r="AA2240" t="s">
        <v>431</v>
      </c>
      <c r="AB2240" s="1" t="s">
        <v>0</v>
      </c>
      <c r="AC2240" s="1" t="s">
        <v>5</v>
      </c>
      <c r="AD2240" s="1" t="s">
        <v>1914</v>
      </c>
      <c r="AE2240" s="1" t="s">
        <v>3</v>
      </c>
      <c r="AF2240" s="1" t="s">
        <v>5</v>
      </c>
      <c r="AG2240">
        <f t="shared" si="61"/>
        <v>0</v>
      </c>
    </row>
    <row r="2241" spans="27:33" hidden="1" x14ac:dyDescent="0.25">
      <c r="AA2241" t="s">
        <v>1469</v>
      </c>
      <c r="AB2241" s="1" t="s">
        <v>3</v>
      </c>
      <c r="AC2241" s="1" t="s">
        <v>11</v>
      </c>
      <c r="AD2241" s="1" t="s">
        <v>6</v>
      </c>
      <c r="AE2241" s="1" t="s">
        <v>4</v>
      </c>
      <c r="AF2241" s="1" t="s">
        <v>1</v>
      </c>
      <c r="AG2241">
        <f t="shared" si="61"/>
        <v>0</v>
      </c>
    </row>
    <row r="2242" spans="27:33" hidden="1" x14ac:dyDescent="0.25">
      <c r="AA2242" t="s">
        <v>627</v>
      </c>
      <c r="AB2242" s="1" t="s">
        <v>1920</v>
      </c>
      <c r="AC2242" s="1" t="s">
        <v>11</v>
      </c>
      <c r="AD2242" s="1" t="s">
        <v>0</v>
      </c>
      <c r="AE2242" s="1" t="s">
        <v>1</v>
      </c>
      <c r="AF2242" s="1" t="s">
        <v>7</v>
      </c>
      <c r="AG2242">
        <f t="shared" si="61"/>
        <v>0</v>
      </c>
    </row>
    <row r="2243" spans="27:33" hidden="1" x14ac:dyDescent="0.25">
      <c r="AA2243" t="s">
        <v>529</v>
      </c>
      <c r="AB2243" s="1" t="s">
        <v>1915</v>
      </c>
      <c r="AC2243" s="1" t="s">
        <v>10</v>
      </c>
      <c r="AD2243" s="1" t="s">
        <v>0</v>
      </c>
      <c r="AE2243" s="1" t="s">
        <v>1917</v>
      </c>
      <c r="AF2243" s="1" t="s">
        <v>1</v>
      </c>
      <c r="AG2243">
        <f t="shared" ref="AG2243:AG2284" si="62">IF(AND(Z2243&gt;0,Z2243&lt;7),AG2242+1,0)</f>
        <v>0</v>
      </c>
    </row>
    <row r="2244" spans="27:33" hidden="1" x14ac:dyDescent="0.25">
      <c r="AA2244" t="s">
        <v>768</v>
      </c>
      <c r="AB2244" s="1" t="s">
        <v>1921</v>
      </c>
      <c r="AC2244" s="1" t="s">
        <v>3</v>
      </c>
      <c r="AD2244" s="1" t="s">
        <v>11</v>
      </c>
      <c r="AE2244" s="1" t="s">
        <v>1916</v>
      </c>
      <c r="AF2244" s="1" t="s">
        <v>1</v>
      </c>
      <c r="AG2244">
        <f t="shared" si="62"/>
        <v>0</v>
      </c>
    </row>
    <row r="2245" spans="27:33" hidden="1" x14ac:dyDescent="0.25">
      <c r="AA2245" t="s">
        <v>1766</v>
      </c>
      <c r="AB2245" s="1" t="s">
        <v>4</v>
      </c>
      <c r="AC2245" s="1" t="s">
        <v>3</v>
      </c>
      <c r="AD2245" s="1" t="s">
        <v>10</v>
      </c>
      <c r="AE2245" s="1" t="s">
        <v>6</v>
      </c>
      <c r="AF2245" s="1" t="s">
        <v>5</v>
      </c>
      <c r="AG2245">
        <f t="shared" si="62"/>
        <v>0</v>
      </c>
    </row>
    <row r="2246" spans="27:33" hidden="1" x14ac:dyDescent="0.25">
      <c r="AA2246" t="s">
        <v>1227</v>
      </c>
      <c r="AB2246" s="1" t="s">
        <v>5</v>
      </c>
      <c r="AC2246" s="1" t="s">
        <v>3</v>
      </c>
      <c r="AD2246" s="1" t="s">
        <v>11</v>
      </c>
      <c r="AE2246" s="1" t="s">
        <v>15</v>
      </c>
      <c r="AF2246" s="1" t="s">
        <v>1</v>
      </c>
      <c r="AG2246">
        <f t="shared" si="62"/>
        <v>0</v>
      </c>
    </row>
    <row r="2247" spans="27:33" hidden="1" x14ac:dyDescent="0.25">
      <c r="AA2247" t="s">
        <v>2283</v>
      </c>
      <c r="AB2247" s="1" t="s">
        <v>15</v>
      </c>
      <c r="AC2247" s="1" t="s">
        <v>1</v>
      </c>
      <c r="AD2247" s="1" t="s">
        <v>7</v>
      </c>
      <c r="AE2247" s="1" t="s">
        <v>5</v>
      </c>
      <c r="AF2247" s="1" t="s">
        <v>6</v>
      </c>
      <c r="AG2247">
        <f t="shared" si="62"/>
        <v>0</v>
      </c>
    </row>
    <row r="2248" spans="27:33" hidden="1" x14ac:dyDescent="0.25">
      <c r="AA2248" t="s">
        <v>826</v>
      </c>
      <c r="AB2248" s="1" t="s">
        <v>1917</v>
      </c>
      <c r="AC2248" s="1" t="s">
        <v>10</v>
      </c>
      <c r="AD2248" s="1" t="s">
        <v>9</v>
      </c>
      <c r="AE2248" s="1" t="s">
        <v>1</v>
      </c>
      <c r="AF2248" s="1" t="s">
        <v>3</v>
      </c>
      <c r="AG2248">
        <f t="shared" si="62"/>
        <v>0</v>
      </c>
    </row>
    <row r="2249" spans="27:33" hidden="1" x14ac:dyDescent="0.25">
      <c r="AA2249" t="s">
        <v>1030</v>
      </c>
      <c r="AB2249" s="1" t="s">
        <v>13</v>
      </c>
      <c r="AC2249" s="1" t="s">
        <v>1</v>
      </c>
      <c r="AD2249" s="1" t="s">
        <v>9</v>
      </c>
      <c r="AE2249" s="1" t="s">
        <v>11</v>
      </c>
      <c r="AF2249" s="1" t="s">
        <v>5</v>
      </c>
      <c r="AG2249">
        <f t="shared" si="62"/>
        <v>0</v>
      </c>
    </row>
    <row r="2250" spans="27:33" hidden="1" x14ac:dyDescent="0.25">
      <c r="AA2250" t="s">
        <v>1102</v>
      </c>
      <c r="AB2250" s="1" t="s">
        <v>13</v>
      </c>
      <c r="AC2250" s="1" t="s">
        <v>5</v>
      </c>
      <c r="AD2250" s="1" t="s">
        <v>13</v>
      </c>
      <c r="AE2250" s="1" t="s">
        <v>10</v>
      </c>
      <c r="AF2250" s="1" t="s">
        <v>1</v>
      </c>
      <c r="AG2250">
        <f t="shared" si="62"/>
        <v>0</v>
      </c>
    </row>
    <row r="2251" spans="27:33" hidden="1" x14ac:dyDescent="0.25">
      <c r="AA2251" t="s">
        <v>1615</v>
      </c>
      <c r="AB2251" s="1" t="s">
        <v>2</v>
      </c>
      <c r="AC2251" s="1" t="s">
        <v>5</v>
      </c>
      <c r="AD2251" s="1" t="s">
        <v>6</v>
      </c>
      <c r="AE2251" s="1" t="s">
        <v>1</v>
      </c>
      <c r="AF2251" s="1" t="s">
        <v>3</v>
      </c>
      <c r="AG2251">
        <f t="shared" si="62"/>
        <v>0</v>
      </c>
    </row>
    <row r="2252" spans="27:33" hidden="1" x14ac:dyDescent="0.25">
      <c r="AA2252" t="s">
        <v>2297</v>
      </c>
      <c r="AB2252" s="1" t="s">
        <v>8</v>
      </c>
      <c r="AC2252" s="1" t="s">
        <v>6</v>
      </c>
      <c r="AD2252" s="1" t="s">
        <v>10</v>
      </c>
      <c r="AE2252" s="1" t="s">
        <v>0</v>
      </c>
      <c r="AF2252" s="1" t="s">
        <v>1</v>
      </c>
      <c r="AG2252">
        <f t="shared" si="62"/>
        <v>0</v>
      </c>
    </row>
    <row r="2253" spans="27:33" hidden="1" x14ac:dyDescent="0.25">
      <c r="AA2253" t="s">
        <v>269</v>
      </c>
      <c r="AB2253" s="1" t="s">
        <v>1914</v>
      </c>
      <c r="AC2253" s="1" t="s">
        <v>8</v>
      </c>
      <c r="AD2253" s="1" t="s">
        <v>1920</v>
      </c>
      <c r="AE2253" s="1" t="s">
        <v>1</v>
      </c>
      <c r="AF2253" s="1" t="s">
        <v>3</v>
      </c>
      <c r="AG2253">
        <f t="shared" si="62"/>
        <v>0</v>
      </c>
    </row>
    <row r="2254" spans="27:33" hidden="1" x14ac:dyDescent="0.25">
      <c r="AA2254" t="s">
        <v>353</v>
      </c>
      <c r="AB2254" s="1" t="s">
        <v>0</v>
      </c>
      <c r="AC2254" s="1" t="s">
        <v>11</v>
      </c>
      <c r="AD2254" s="1" t="s">
        <v>1915</v>
      </c>
      <c r="AE2254" s="1" t="s">
        <v>11</v>
      </c>
      <c r="AF2254" s="1" t="s">
        <v>3</v>
      </c>
      <c r="AG2254">
        <f t="shared" si="62"/>
        <v>0</v>
      </c>
    </row>
    <row r="2255" spans="27:33" hidden="1" x14ac:dyDescent="0.25">
      <c r="AA2255" t="s">
        <v>216</v>
      </c>
      <c r="AB2255" s="1" t="s">
        <v>1914</v>
      </c>
      <c r="AC2255" s="1" t="s">
        <v>7</v>
      </c>
      <c r="AD2255" s="1" t="s">
        <v>11</v>
      </c>
      <c r="AE2255" s="1" t="s">
        <v>1915</v>
      </c>
      <c r="AF2255" s="1" t="s">
        <v>5</v>
      </c>
      <c r="AG2255">
        <f t="shared" si="62"/>
        <v>0</v>
      </c>
    </row>
    <row r="2256" spans="27:33" hidden="1" x14ac:dyDescent="0.25">
      <c r="AA2256" t="s">
        <v>1710</v>
      </c>
      <c r="AB2256" s="1" t="s">
        <v>4</v>
      </c>
      <c r="AC2256" s="1" t="s">
        <v>10</v>
      </c>
      <c r="AD2256" s="1" t="s">
        <v>11</v>
      </c>
      <c r="AE2256" s="1" t="s">
        <v>2</v>
      </c>
      <c r="AF2256" s="1" t="s">
        <v>5</v>
      </c>
      <c r="AG2256">
        <f t="shared" si="62"/>
        <v>0</v>
      </c>
    </row>
    <row r="2257" spans="27:33" hidden="1" x14ac:dyDescent="0.25">
      <c r="AA2257" t="s">
        <v>626</v>
      </c>
      <c r="AB2257" s="1" t="s">
        <v>1920</v>
      </c>
      <c r="AC2257" s="1" t="s">
        <v>1</v>
      </c>
      <c r="AD2257" s="1" t="s">
        <v>1919</v>
      </c>
      <c r="AE2257" s="1" t="s">
        <v>5</v>
      </c>
      <c r="AF2257" s="1" t="s">
        <v>3</v>
      </c>
      <c r="AG2257">
        <f t="shared" si="62"/>
        <v>0</v>
      </c>
    </row>
    <row r="2258" spans="27:33" hidden="1" x14ac:dyDescent="0.25">
      <c r="AA2258" t="s">
        <v>378</v>
      </c>
      <c r="AB2258" s="1" t="s">
        <v>0</v>
      </c>
      <c r="AC2258" s="1" t="s">
        <v>1917</v>
      </c>
      <c r="AD2258" s="1" t="s">
        <v>11</v>
      </c>
      <c r="AE2258" s="1" t="s">
        <v>7</v>
      </c>
      <c r="AF2258" s="1" t="s">
        <v>5</v>
      </c>
      <c r="AG2258">
        <f t="shared" si="62"/>
        <v>0</v>
      </c>
    </row>
    <row r="2259" spans="27:33" hidden="1" x14ac:dyDescent="0.25">
      <c r="AA2259" t="s">
        <v>2066</v>
      </c>
      <c r="AB2259" s="1" t="s">
        <v>1917</v>
      </c>
      <c r="AC2259" s="1" t="s">
        <v>1</v>
      </c>
      <c r="AD2259" s="1" t="s">
        <v>3</v>
      </c>
      <c r="AE2259" s="1" t="s">
        <v>11</v>
      </c>
      <c r="AF2259" s="1" t="s">
        <v>6</v>
      </c>
      <c r="AG2259">
        <f t="shared" si="62"/>
        <v>0</v>
      </c>
    </row>
    <row r="2260" spans="27:33" hidden="1" x14ac:dyDescent="0.25">
      <c r="AA2260" t="s">
        <v>523</v>
      </c>
      <c r="AB2260" s="1" t="s">
        <v>1915</v>
      </c>
      <c r="AC2260" s="1" t="s">
        <v>11</v>
      </c>
      <c r="AD2260" s="1" t="s">
        <v>6</v>
      </c>
      <c r="AE2260" s="1" t="s">
        <v>2</v>
      </c>
      <c r="AF2260" s="1" t="s">
        <v>5</v>
      </c>
      <c r="AG2260">
        <f t="shared" si="62"/>
        <v>0</v>
      </c>
    </row>
    <row r="2261" spans="27:33" hidden="1" x14ac:dyDescent="0.25">
      <c r="AA2261" t="s">
        <v>802</v>
      </c>
      <c r="AB2261" s="1" t="s">
        <v>1917</v>
      </c>
      <c r="AC2261" s="1" t="s">
        <v>1</v>
      </c>
      <c r="AD2261" s="1" t="s">
        <v>7</v>
      </c>
      <c r="AE2261" s="1" t="s">
        <v>1</v>
      </c>
      <c r="AF2261" s="1" t="s">
        <v>7</v>
      </c>
      <c r="AG2261">
        <f t="shared" si="62"/>
        <v>0</v>
      </c>
    </row>
    <row r="2262" spans="27:33" hidden="1" x14ac:dyDescent="0.25">
      <c r="AA2262" t="s">
        <v>1363</v>
      </c>
      <c r="AB2262" s="1" t="s">
        <v>9</v>
      </c>
      <c r="AC2262" s="1" t="s">
        <v>5</v>
      </c>
      <c r="AD2262" s="1" t="s">
        <v>1915</v>
      </c>
      <c r="AE2262" s="1" t="s">
        <v>1</v>
      </c>
      <c r="AF2262" s="1" t="s">
        <v>3</v>
      </c>
      <c r="AG2262">
        <f t="shared" si="62"/>
        <v>0</v>
      </c>
    </row>
    <row r="2263" spans="27:33" hidden="1" x14ac:dyDescent="0.25">
      <c r="AA2263" t="s">
        <v>1233</v>
      </c>
      <c r="AB2263" s="1" t="s">
        <v>5</v>
      </c>
      <c r="AC2263" s="1" t="s">
        <v>3</v>
      </c>
      <c r="AD2263" s="1" t="s">
        <v>12</v>
      </c>
      <c r="AE2263" s="1" t="s">
        <v>1</v>
      </c>
      <c r="AF2263" s="1" t="s">
        <v>3</v>
      </c>
      <c r="AG2263">
        <f t="shared" si="62"/>
        <v>0</v>
      </c>
    </row>
    <row r="2264" spans="27:33" hidden="1" x14ac:dyDescent="0.25">
      <c r="AA2264" t="s">
        <v>1228</v>
      </c>
      <c r="AB2264" s="1" t="s">
        <v>5</v>
      </c>
      <c r="AC2264" s="1" t="s">
        <v>3</v>
      </c>
      <c r="AD2264" s="1" t="s">
        <v>10</v>
      </c>
      <c r="AE2264" s="1" t="s">
        <v>6</v>
      </c>
      <c r="AF2264" s="1" t="s">
        <v>1</v>
      </c>
      <c r="AG2264">
        <f t="shared" si="62"/>
        <v>0</v>
      </c>
    </row>
    <row r="2265" spans="27:33" hidden="1" x14ac:dyDescent="0.25">
      <c r="AA2265" t="s">
        <v>1507</v>
      </c>
      <c r="AB2265" s="1" t="s">
        <v>3</v>
      </c>
      <c r="AC2265" s="1" t="s">
        <v>5</v>
      </c>
      <c r="AD2265" s="1" t="s">
        <v>4</v>
      </c>
      <c r="AE2265" s="1" t="s">
        <v>5</v>
      </c>
      <c r="AF2265" s="1" t="s">
        <v>3</v>
      </c>
      <c r="AG2265">
        <f t="shared" si="62"/>
        <v>0</v>
      </c>
    </row>
    <row r="2266" spans="27:33" hidden="1" x14ac:dyDescent="0.25">
      <c r="AA2266" t="s">
        <v>1643</v>
      </c>
      <c r="AB2266" s="1" t="s">
        <v>2</v>
      </c>
      <c r="AC2266" s="1" t="s">
        <v>8</v>
      </c>
      <c r="AD2266" s="1" t="s">
        <v>4</v>
      </c>
      <c r="AE2266" s="1" t="s">
        <v>10</v>
      </c>
      <c r="AF2266" s="1" t="s">
        <v>7</v>
      </c>
      <c r="AG2266">
        <f t="shared" si="62"/>
        <v>0</v>
      </c>
    </row>
    <row r="2267" spans="27:33" hidden="1" x14ac:dyDescent="0.25">
      <c r="AA2267" t="s">
        <v>2011</v>
      </c>
      <c r="AB2267" s="1" t="s">
        <v>1</v>
      </c>
      <c r="AC2267" s="1" t="s">
        <v>3</v>
      </c>
      <c r="AD2267" s="1" t="s">
        <v>10</v>
      </c>
      <c r="AE2267" s="1" t="s">
        <v>1915</v>
      </c>
      <c r="AF2267" s="1" t="s">
        <v>1</v>
      </c>
      <c r="AG2267">
        <f t="shared" si="62"/>
        <v>0</v>
      </c>
    </row>
    <row r="2268" spans="27:33" hidden="1" x14ac:dyDescent="0.25">
      <c r="AA2268" t="s">
        <v>838</v>
      </c>
      <c r="AB2268" s="1" t="s">
        <v>1917</v>
      </c>
      <c r="AC2268" s="1" t="s">
        <v>5</v>
      </c>
      <c r="AD2268" s="1" t="s">
        <v>3</v>
      </c>
      <c r="AE2268" s="1" t="s">
        <v>13</v>
      </c>
      <c r="AF2268" s="1" t="s">
        <v>1</v>
      </c>
      <c r="AG2268">
        <f t="shared" si="62"/>
        <v>0</v>
      </c>
    </row>
    <row r="2269" spans="27:33" hidden="1" x14ac:dyDescent="0.25">
      <c r="AA2269" t="s">
        <v>2099</v>
      </c>
      <c r="AB2269" s="1" t="s">
        <v>10</v>
      </c>
      <c r="AC2269" s="1" t="s">
        <v>1914</v>
      </c>
      <c r="AD2269" s="1" t="s">
        <v>11</v>
      </c>
      <c r="AE2269" s="1" t="s">
        <v>3</v>
      </c>
      <c r="AF2269" s="1" t="s">
        <v>1</v>
      </c>
      <c r="AG2269">
        <f t="shared" si="62"/>
        <v>0</v>
      </c>
    </row>
    <row r="2270" spans="27:33" hidden="1" x14ac:dyDescent="0.25">
      <c r="AA2270" t="s">
        <v>1123</v>
      </c>
      <c r="AB2270" s="1" t="s">
        <v>13</v>
      </c>
      <c r="AC2270" s="1" t="s">
        <v>8</v>
      </c>
      <c r="AD2270" s="1" t="s">
        <v>11</v>
      </c>
      <c r="AE2270" s="1" t="s">
        <v>0</v>
      </c>
      <c r="AF2270" s="1" t="s">
        <v>1</v>
      </c>
      <c r="AG2270">
        <f t="shared" si="62"/>
        <v>0</v>
      </c>
    </row>
    <row r="2271" spans="27:33" hidden="1" x14ac:dyDescent="0.25">
      <c r="AA2271" t="s">
        <v>1176</v>
      </c>
      <c r="AB2271" s="1" t="s">
        <v>6</v>
      </c>
      <c r="AC2271" s="1" t="s">
        <v>5</v>
      </c>
      <c r="AD2271" s="1" t="s">
        <v>6</v>
      </c>
      <c r="AE2271" s="1" t="s">
        <v>11</v>
      </c>
      <c r="AF2271" s="1" t="s">
        <v>2</v>
      </c>
      <c r="AG2271">
        <f t="shared" si="62"/>
        <v>0</v>
      </c>
    </row>
    <row r="2272" spans="27:33" hidden="1" x14ac:dyDescent="0.25">
      <c r="AA2272" t="s">
        <v>1401</v>
      </c>
      <c r="AB2272" s="1" t="s">
        <v>9</v>
      </c>
      <c r="AC2272" s="1" t="s">
        <v>8</v>
      </c>
      <c r="AD2272" s="1" t="s">
        <v>1915</v>
      </c>
      <c r="AE2272" s="1" t="s">
        <v>5</v>
      </c>
      <c r="AF2272" s="1" t="s">
        <v>3</v>
      </c>
      <c r="AG2272">
        <f t="shared" si="62"/>
        <v>0</v>
      </c>
    </row>
    <row r="2273" spans="27:33" hidden="1" x14ac:dyDescent="0.25">
      <c r="AA2273" t="s">
        <v>405</v>
      </c>
      <c r="AB2273" s="1" t="s">
        <v>0</v>
      </c>
      <c r="AC2273" s="1" t="s">
        <v>10</v>
      </c>
      <c r="AD2273" s="1" t="s">
        <v>11</v>
      </c>
      <c r="AE2273" s="1" t="s">
        <v>1921</v>
      </c>
      <c r="AF2273" s="1" t="s">
        <v>5</v>
      </c>
      <c r="AG2273">
        <f t="shared" si="62"/>
        <v>0</v>
      </c>
    </row>
    <row r="2274" spans="27:33" hidden="1" x14ac:dyDescent="0.25">
      <c r="AA2274" t="s">
        <v>537</v>
      </c>
      <c r="AB2274" s="1" t="s">
        <v>1915</v>
      </c>
      <c r="AC2274" s="1" t="s">
        <v>10</v>
      </c>
      <c r="AD2274" s="1" t="s">
        <v>5</v>
      </c>
      <c r="AE2274" s="1" t="s">
        <v>2</v>
      </c>
      <c r="AF2274" s="1" t="s">
        <v>1</v>
      </c>
      <c r="AG2274">
        <f t="shared" si="62"/>
        <v>0</v>
      </c>
    </row>
    <row r="2275" spans="27:33" hidden="1" x14ac:dyDescent="0.25">
      <c r="AA2275" t="s">
        <v>1680</v>
      </c>
      <c r="AB2275" s="1" t="s">
        <v>4</v>
      </c>
      <c r="AC2275" s="1" t="s">
        <v>11</v>
      </c>
      <c r="AD2275" s="1" t="s">
        <v>0</v>
      </c>
      <c r="AE2275" s="1" t="s">
        <v>7</v>
      </c>
      <c r="AF2275" s="1" t="s">
        <v>1</v>
      </c>
      <c r="AG2275">
        <f t="shared" si="62"/>
        <v>0</v>
      </c>
    </row>
    <row r="2276" spans="27:33" hidden="1" x14ac:dyDescent="0.25">
      <c r="AA2276" t="s">
        <v>1460</v>
      </c>
      <c r="AB2276" s="1" t="s">
        <v>3</v>
      </c>
      <c r="AC2276" s="1" t="s">
        <v>11</v>
      </c>
      <c r="AD2276" s="1" t="s">
        <v>1921</v>
      </c>
      <c r="AE2276" s="1" t="s">
        <v>7</v>
      </c>
      <c r="AF2276" s="1" t="s">
        <v>1</v>
      </c>
      <c r="AG2276">
        <f t="shared" si="62"/>
        <v>0</v>
      </c>
    </row>
    <row r="2277" spans="27:33" hidden="1" x14ac:dyDescent="0.25">
      <c r="AA2277" t="s">
        <v>1625</v>
      </c>
      <c r="AB2277" s="1" t="s">
        <v>2</v>
      </c>
      <c r="AC2277" s="1" t="s">
        <v>4</v>
      </c>
      <c r="AD2277" s="1" t="s">
        <v>5</v>
      </c>
      <c r="AE2277" s="1" t="s">
        <v>0</v>
      </c>
      <c r="AF2277" s="1" t="s">
        <v>14</v>
      </c>
      <c r="AG2277">
        <f t="shared" si="62"/>
        <v>0</v>
      </c>
    </row>
    <row r="2278" spans="27:33" hidden="1" x14ac:dyDescent="0.25">
      <c r="AA2278" t="s">
        <v>717</v>
      </c>
      <c r="AB2278" s="1" t="s">
        <v>1921</v>
      </c>
      <c r="AC2278" s="1" t="s">
        <v>1</v>
      </c>
      <c r="AD2278" s="1" t="s">
        <v>6</v>
      </c>
      <c r="AE2278" s="1" t="s">
        <v>1921</v>
      </c>
      <c r="AF2278" s="1" t="s">
        <v>1</v>
      </c>
      <c r="AG2278">
        <f t="shared" si="62"/>
        <v>0</v>
      </c>
    </row>
    <row r="2279" spans="27:33" hidden="1" x14ac:dyDescent="0.25">
      <c r="AA2279" t="s">
        <v>966</v>
      </c>
      <c r="AB2279" s="1" t="s">
        <v>7</v>
      </c>
      <c r="AC2279" s="1" t="s">
        <v>10</v>
      </c>
      <c r="AD2279" s="1" t="s">
        <v>6</v>
      </c>
      <c r="AE2279" s="1" t="s">
        <v>1915</v>
      </c>
      <c r="AF2279" s="1" t="s">
        <v>11</v>
      </c>
      <c r="AG2279">
        <f t="shared" si="62"/>
        <v>0</v>
      </c>
    </row>
    <row r="2280" spans="27:33" hidden="1" x14ac:dyDescent="0.25">
      <c r="AA2280" t="s">
        <v>127</v>
      </c>
      <c r="AB2280" s="1" t="s">
        <v>1</v>
      </c>
      <c r="AC2280" s="1" t="s">
        <v>2</v>
      </c>
      <c r="AD2280" s="1" t="s">
        <v>10</v>
      </c>
      <c r="AE2280" s="1" t="s">
        <v>7</v>
      </c>
      <c r="AF2280" s="1" t="s">
        <v>5</v>
      </c>
      <c r="AG2280">
        <f t="shared" si="62"/>
        <v>0</v>
      </c>
    </row>
    <row r="2281" spans="27:33" hidden="1" x14ac:dyDescent="0.25">
      <c r="AA2281" t="s">
        <v>1112</v>
      </c>
      <c r="AB2281" s="1" t="s">
        <v>13</v>
      </c>
      <c r="AC2281" s="1" t="s">
        <v>5</v>
      </c>
      <c r="AD2281" s="1" t="s">
        <v>3</v>
      </c>
      <c r="AE2281" s="1" t="s">
        <v>2</v>
      </c>
      <c r="AF2281" s="1" t="s">
        <v>1</v>
      </c>
      <c r="AG2281">
        <f t="shared" si="62"/>
        <v>0</v>
      </c>
    </row>
    <row r="2282" spans="27:33" hidden="1" x14ac:dyDescent="0.25">
      <c r="AA2282" t="s">
        <v>969</v>
      </c>
      <c r="AB2282" s="1" t="s">
        <v>7</v>
      </c>
      <c r="AC2282" s="1" t="s">
        <v>10</v>
      </c>
      <c r="AD2282" s="1" t="s">
        <v>5</v>
      </c>
      <c r="AE2282" s="1" t="s">
        <v>2</v>
      </c>
      <c r="AF2282" s="1" t="s">
        <v>5</v>
      </c>
      <c r="AG2282">
        <f t="shared" si="62"/>
        <v>0</v>
      </c>
    </row>
    <row r="2283" spans="27:33" hidden="1" x14ac:dyDescent="0.25">
      <c r="AA2283" t="s">
        <v>221</v>
      </c>
      <c r="AB2283" s="1" t="s">
        <v>1914</v>
      </c>
      <c r="AC2283" s="1" t="s">
        <v>5</v>
      </c>
      <c r="AD2283" s="1" t="s">
        <v>0</v>
      </c>
      <c r="AE2283" s="1" t="s">
        <v>10</v>
      </c>
      <c r="AF2283" s="1" t="s">
        <v>5</v>
      </c>
      <c r="AG2283">
        <f t="shared" si="62"/>
        <v>0</v>
      </c>
    </row>
    <row r="2284" spans="27:33" hidden="1" x14ac:dyDescent="0.25">
      <c r="AA2284" t="s">
        <v>953</v>
      </c>
      <c r="AB2284" s="1" t="s">
        <v>7</v>
      </c>
      <c r="AC2284" s="1" t="s">
        <v>10</v>
      </c>
      <c r="AD2284" s="1" t="s">
        <v>1914</v>
      </c>
      <c r="AE2284" s="1" t="s">
        <v>3</v>
      </c>
      <c r="AF2284" s="1" t="s">
        <v>5</v>
      </c>
      <c r="AG2284">
        <f t="shared" si="62"/>
        <v>0</v>
      </c>
    </row>
  </sheetData>
  <sheetProtection algorithmName="SHA-512" hashValue="LrySnfQsyazt3FOqipBRvKgnMjmzGL/dlwzv7z83b2rBMJUXPNTMgMPWm6m4ILVi0V+sCLgwPzmO8JWeVrJa8w==" saltValue="dzZ8KVbkyOujoUyk5zUQTg==" spinCount="100000" sheet="1" objects="1" scenarios="1" selectLockedCells="1"/>
  <conditionalFormatting sqref="D17">
    <cfRule type="expression" dxfId="80" priority="94">
      <formula>D22=0</formula>
    </cfRule>
    <cfRule type="expression" dxfId="79" priority="167" stopIfTrue="1">
      <formula>D22 =1</formula>
    </cfRule>
    <cfRule type="expression" dxfId="78" priority="170">
      <formula>D22=-1</formula>
    </cfRule>
  </conditionalFormatting>
  <conditionalFormatting sqref="D18">
    <cfRule type="expression" dxfId="77" priority="91">
      <formula>D23=0</formula>
    </cfRule>
    <cfRule type="expression" dxfId="76" priority="92" stopIfTrue="1">
      <formula>D23 =1</formula>
    </cfRule>
    <cfRule type="expression" dxfId="75" priority="93">
      <formula>D23=-1</formula>
    </cfRule>
  </conditionalFormatting>
  <conditionalFormatting sqref="D19">
    <cfRule type="expression" dxfId="74" priority="88">
      <formula>D24=0</formula>
    </cfRule>
    <cfRule type="expression" dxfId="73" priority="89" stopIfTrue="1">
      <formula>D24 =1</formula>
    </cfRule>
    <cfRule type="expression" dxfId="72" priority="90">
      <formula>D24=-1</formula>
    </cfRule>
  </conditionalFormatting>
  <conditionalFormatting sqref="D20">
    <cfRule type="expression" dxfId="71" priority="85">
      <formula>D25=0</formula>
    </cfRule>
    <cfRule type="expression" dxfId="70" priority="86" stopIfTrue="1">
      <formula>D25 =1</formula>
    </cfRule>
    <cfRule type="expression" dxfId="69" priority="87">
      <formula>D25=-1</formula>
    </cfRule>
  </conditionalFormatting>
  <conditionalFormatting sqref="E20">
    <cfRule type="expression" dxfId="68" priority="76">
      <formula>E25=0</formula>
    </cfRule>
    <cfRule type="expression" dxfId="67" priority="77" stopIfTrue="1">
      <formula>E25 =1</formula>
    </cfRule>
    <cfRule type="expression" dxfId="66" priority="78">
      <formula>E25=-1</formula>
    </cfRule>
  </conditionalFormatting>
  <conditionalFormatting sqref="E19">
    <cfRule type="expression" dxfId="65" priority="73">
      <formula>E24=0</formula>
    </cfRule>
    <cfRule type="expression" dxfId="64" priority="74" stopIfTrue="1">
      <formula>E24 =1</formula>
    </cfRule>
    <cfRule type="expression" dxfId="63" priority="75">
      <formula>E24=-1</formula>
    </cfRule>
  </conditionalFormatting>
  <conditionalFormatting sqref="E18">
    <cfRule type="expression" dxfId="62" priority="70">
      <formula>E23=0</formula>
    </cfRule>
    <cfRule type="expression" dxfId="61" priority="71" stopIfTrue="1">
      <formula>E23 =1</formula>
    </cfRule>
    <cfRule type="expression" dxfId="60" priority="72">
      <formula>E23=-1</formula>
    </cfRule>
  </conditionalFormatting>
  <conditionalFormatting sqref="E17">
    <cfRule type="expression" dxfId="59" priority="67">
      <formula>E22=0</formula>
    </cfRule>
    <cfRule type="expression" dxfId="58" priority="68" stopIfTrue="1">
      <formula>E22 =1</formula>
    </cfRule>
    <cfRule type="expression" dxfId="57" priority="69">
      <formula>E22=-1</formula>
    </cfRule>
  </conditionalFormatting>
  <conditionalFormatting sqref="F17">
    <cfRule type="expression" dxfId="56" priority="64">
      <formula>F22=0</formula>
    </cfRule>
    <cfRule type="expression" dxfId="55" priority="65" stopIfTrue="1">
      <formula>F22 =1</formula>
    </cfRule>
    <cfRule type="expression" dxfId="54" priority="66">
      <formula>F22=-1</formula>
    </cfRule>
  </conditionalFormatting>
  <conditionalFormatting sqref="F18">
    <cfRule type="expression" dxfId="53" priority="61">
      <formula>F23=0</formula>
    </cfRule>
    <cfRule type="expression" dxfId="52" priority="62" stopIfTrue="1">
      <formula>F23 =1</formula>
    </cfRule>
    <cfRule type="expression" dxfId="51" priority="63">
      <formula>F23=-1</formula>
    </cfRule>
  </conditionalFormatting>
  <conditionalFormatting sqref="F19">
    <cfRule type="expression" dxfId="50" priority="58">
      <formula>F24=0</formula>
    </cfRule>
    <cfRule type="expression" dxfId="49" priority="59" stopIfTrue="1">
      <formula>F24 =1</formula>
    </cfRule>
    <cfRule type="expression" dxfId="48" priority="60">
      <formula>F24=-1</formula>
    </cfRule>
  </conditionalFormatting>
  <conditionalFormatting sqref="F20">
    <cfRule type="expression" dxfId="47" priority="55">
      <formula>F25=0</formula>
    </cfRule>
    <cfRule type="expression" dxfId="46" priority="56" stopIfTrue="1">
      <formula>F25 =1</formula>
    </cfRule>
    <cfRule type="expression" dxfId="45" priority="57">
      <formula>F25=-1</formula>
    </cfRule>
  </conditionalFormatting>
  <conditionalFormatting sqref="G20">
    <cfRule type="expression" dxfId="44" priority="46">
      <formula>G25=0</formula>
    </cfRule>
    <cfRule type="expression" dxfId="43" priority="47" stopIfTrue="1">
      <formula>G25 =1</formula>
    </cfRule>
    <cfRule type="expression" dxfId="42" priority="48">
      <formula>G25=-1</formula>
    </cfRule>
  </conditionalFormatting>
  <conditionalFormatting sqref="G19">
    <cfRule type="expression" dxfId="41" priority="43">
      <formula>G24=0</formula>
    </cfRule>
    <cfRule type="expression" dxfId="40" priority="44" stopIfTrue="1">
      <formula>G24 =1</formula>
    </cfRule>
    <cfRule type="expression" dxfId="39" priority="45">
      <formula>G24=-1</formula>
    </cfRule>
  </conditionalFormatting>
  <conditionalFormatting sqref="G18">
    <cfRule type="expression" dxfId="38" priority="40">
      <formula>G23=0</formula>
    </cfRule>
    <cfRule type="expression" dxfId="37" priority="41" stopIfTrue="1">
      <formula>G23 =1</formula>
    </cfRule>
    <cfRule type="expression" dxfId="36" priority="42">
      <formula>G23=-1</formula>
    </cfRule>
  </conditionalFormatting>
  <conditionalFormatting sqref="G17">
    <cfRule type="expression" dxfId="35" priority="37">
      <formula>G22=0</formula>
    </cfRule>
    <cfRule type="expression" dxfId="34" priority="38" stopIfTrue="1">
      <formula>G22 =1</formula>
    </cfRule>
    <cfRule type="expression" dxfId="33" priority="39">
      <formula>G22=-1</formula>
    </cfRule>
  </conditionalFormatting>
  <conditionalFormatting sqref="H17">
    <cfRule type="expression" dxfId="32" priority="34">
      <formula>H22=0</formula>
    </cfRule>
    <cfRule type="expression" dxfId="31" priority="35" stopIfTrue="1">
      <formula>H22 =1</formula>
    </cfRule>
    <cfRule type="expression" dxfId="30" priority="36">
      <formula>H22=-1</formula>
    </cfRule>
  </conditionalFormatting>
  <conditionalFormatting sqref="H18">
    <cfRule type="expression" dxfId="29" priority="31">
      <formula>H23=0</formula>
    </cfRule>
    <cfRule type="expression" dxfId="28" priority="32" stopIfTrue="1">
      <formula>H23 =1</formula>
    </cfRule>
    <cfRule type="expression" dxfId="27" priority="33">
      <formula>H23=-1</formula>
    </cfRule>
  </conditionalFormatting>
  <conditionalFormatting sqref="H19">
    <cfRule type="expression" dxfId="26" priority="28">
      <formula>H24=0</formula>
    </cfRule>
    <cfRule type="expression" dxfId="25" priority="29" stopIfTrue="1">
      <formula>H24 =1</formula>
    </cfRule>
    <cfRule type="expression" dxfId="24" priority="30">
      <formula>H24=-1</formula>
    </cfRule>
  </conditionalFormatting>
  <conditionalFormatting sqref="H20">
    <cfRule type="expression" dxfId="23" priority="25">
      <formula>H25=0</formula>
    </cfRule>
    <cfRule type="expression" dxfId="22" priority="26" stopIfTrue="1">
      <formula>H25 =1</formula>
    </cfRule>
    <cfRule type="expression" dxfId="21" priority="27">
      <formula>H25=-1</formula>
    </cfRule>
  </conditionalFormatting>
  <conditionalFormatting sqref="C17">
    <cfRule type="expression" dxfId="20" priority="19">
      <formula>C22=0</formula>
    </cfRule>
    <cfRule type="expression" dxfId="19" priority="20" stopIfTrue="1">
      <formula>C22 =1</formula>
    </cfRule>
    <cfRule type="expression" dxfId="18" priority="21">
      <formula>C22=-1</formula>
    </cfRule>
  </conditionalFormatting>
  <conditionalFormatting sqref="C18">
    <cfRule type="expression" dxfId="17" priority="16">
      <formula>C23=0</formula>
    </cfRule>
    <cfRule type="expression" dxfId="16" priority="17" stopIfTrue="1">
      <formula>C23 =1</formula>
    </cfRule>
    <cfRule type="expression" dxfId="15" priority="18">
      <formula>C23=-1</formula>
    </cfRule>
  </conditionalFormatting>
  <conditionalFormatting sqref="C19">
    <cfRule type="expression" dxfId="14" priority="13">
      <formula>C24=0</formula>
    </cfRule>
    <cfRule type="expression" dxfId="13" priority="14" stopIfTrue="1">
      <formula>C24 =1</formula>
    </cfRule>
    <cfRule type="expression" dxfId="12" priority="15">
      <formula>C24=-1</formula>
    </cfRule>
  </conditionalFormatting>
  <conditionalFormatting sqref="C20">
    <cfRule type="expression" dxfId="11" priority="10">
      <formula>C25=0</formula>
    </cfRule>
    <cfRule type="expression" dxfId="10" priority="11" stopIfTrue="1">
      <formula>C25 =1</formula>
    </cfRule>
    <cfRule type="expression" dxfId="9" priority="12">
      <formula>C25=-1</formula>
    </cfRule>
  </conditionalFormatting>
  <conditionalFormatting sqref="I19">
    <cfRule type="expression" dxfId="8" priority="7">
      <formula>I24=0</formula>
    </cfRule>
    <cfRule type="expression" dxfId="7" priority="8" stopIfTrue="1">
      <formula>I24 =1</formula>
    </cfRule>
    <cfRule type="expression" dxfId="6" priority="9">
      <formula>I24=-1</formula>
    </cfRule>
  </conditionalFormatting>
  <conditionalFormatting sqref="I18">
    <cfRule type="expression" dxfId="5" priority="4">
      <formula>I23=0</formula>
    </cfRule>
    <cfRule type="expression" dxfId="4" priority="5" stopIfTrue="1">
      <formula>I23 =1</formula>
    </cfRule>
    <cfRule type="expression" dxfId="3" priority="6">
      <formula>I23=-1</formula>
    </cfRule>
  </conditionalFormatting>
  <conditionalFormatting sqref="I17">
    <cfRule type="expression" dxfId="2" priority="1">
      <formula>I22=0</formula>
    </cfRule>
    <cfRule type="expression" dxfId="1" priority="2" stopIfTrue="1">
      <formula>I22 =1</formula>
    </cfRule>
    <cfRule type="expression" dxfId="0" priority="3">
      <formula>I22=-1</formula>
    </cfRule>
  </conditionalFormatting>
  <dataValidations count="1">
    <dataValidation type="list" operator="equal" allowBlank="1" showDropDown="1" showInputMessage="1" showErrorMessage="1" errorTitle="Caracter no válido" error="Sólo se admiten letras." sqref="D10:H15">
      <formula1>$W$10:$W$35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Reiniciar">
          <controlPr defaultSize="0" autoLine="0" autoPict="0" r:id="rId5">
            <anchor moveWithCells="1">
              <from>
                <xdr:col>18</xdr:col>
                <xdr:colOff>828675</xdr:colOff>
                <xdr:row>16</xdr:row>
                <xdr:rowOff>152400</xdr:rowOff>
              </from>
              <to>
                <xdr:col>19</xdr:col>
                <xdr:colOff>542925</xdr:colOff>
                <xdr:row>18</xdr:row>
                <xdr:rowOff>47625</xdr:rowOff>
              </to>
            </anchor>
          </controlPr>
        </control>
      </mc:Choice>
      <mc:Fallback>
        <control shapeId="1033" r:id="rId4" name="Reiniciar"/>
      </mc:Fallback>
    </mc:AlternateContent>
    <mc:AlternateContent xmlns:mc="http://schemas.openxmlformats.org/markup-compatibility/2006">
      <mc:Choice Requires="x14">
        <control shapeId="1032" r:id="rId6" name="Nueva">
          <controlPr defaultSize="0" autoLine="0" r:id="rId7">
            <anchor moveWithCells="1">
              <from>
                <xdr:col>14</xdr:col>
                <xdr:colOff>180975</xdr:colOff>
                <xdr:row>15</xdr:row>
                <xdr:rowOff>142875</xdr:rowOff>
              </from>
              <to>
                <xdr:col>16</xdr:col>
                <xdr:colOff>638175</xdr:colOff>
                <xdr:row>16</xdr:row>
                <xdr:rowOff>123825</xdr:rowOff>
              </to>
            </anchor>
          </controlPr>
        </control>
      </mc:Choice>
      <mc:Fallback>
        <control shapeId="1032" r:id="rId6" name="Nueva"/>
      </mc:Fallback>
    </mc:AlternateContent>
    <mc:AlternateContent xmlns:mc="http://schemas.openxmlformats.org/markup-compatibility/2006">
      <mc:Choice Requires="x14">
        <control shapeId="1026" r:id="rId8" name="Enter1">
          <controlPr defaultSize="0" autoLine="0" r:id="rId9">
            <anchor moveWithCells="1">
              <from>
                <xdr:col>15</xdr:col>
                <xdr:colOff>85725</xdr:colOff>
                <xdr:row>9</xdr:row>
                <xdr:rowOff>19050</xdr:rowOff>
              </from>
              <to>
                <xdr:col>16</xdr:col>
                <xdr:colOff>542925</xdr:colOff>
                <xdr:row>10</xdr:row>
                <xdr:rowOff>0</xdr:rowOff>
              </to>
            </anchor>
          </controlPr>
        </control>
      </mc:Choice>
      <mc:Fallback>
        <control shapeId="1026" r:id="rId8" name="Enter1"/>
      </mc:Fallback>
    </mc:AlternateContent>
    <mc:AlternateContent xmlns:mc="http://schemas.openxmlformats.org/markup-compatibility/2006">
      <mc:Choice Requires="x14">
        <control shapeId="1027" r:id="rId10" name="Enter2">
          <controlPr defaultSize="0" disabled="1" autoLine="0" r:id="rId11">
            <anchor moveWithCells="1">
              <from>
                <xdr:col>15</xdr:col>
                <xdr:colOff>85725</xdr:colOff>
                <xdr:row>10</xdr:row>
                <xdr:rowOff>19050</xdr:rowOff>
              </from>
              <to>
                <xdr:col>16</xdr:col>
                <xdr:colOff>542925</xdr:colOff>
                <xdr:row>11</xdr:row>
                <xdr:rowOff>0</xdr:rowOff>
              </to>
            </anchor>
          </controlPr>
        </control>
      </mc:Choice>
      <mc:Fallback>
        <control shapeId="1027" r:id="rId10" name="Enter2"/>
      </mc:Fallback>
    </mc:AlternateContent>
    <mc:AlternateContent xmlns:mc="http://schemas.openxmlformats.org/markup-compatibility/2006">
      <mc:Choice Requires="x14">
        <control shapeId="1028" r:id="rId12" name="Enter3">
          <controlPr defaultSize="0" disabled="1" autoLine="0" r:id="rId13">
            <anchor moveWithCells="1">
              <from>
                <xdr:col>15</xdr:col>
                <xdr:colOff>85725</xdr:colOff>
                <xdr:row>11</xdr:row>
                <xdr:rowOff>19050</xdr:rowOff>
              </from>
              <to>
                <xdr:col>16</xdr:col>
                <xdr:colOff>542925</xdr:colOff>
                <xdr:row>12</xdr:row>
                <xdr:rowOff>0</xdr:rowOff>
              </to>
            </anchor>
          </controlPr>
        </control>
      </mc:Choice>
      <mc:Fallback>
        <control shapeId="1028" r:id="rId12" name="Enter3"/>
      </mc:Fallback>
    </mc:AlternateContent>
    <mc:AlternateContent xmlns:mc="http://schemas.openxmlformats.org/markup-compatibility/2006">
      <mc:Choice Requires="x14">
        <control shapeId="1029" r:id="rId14" name="Enter4">
          <controlPr defaultSize="0" disabled="1" autoLine="0" r:id="rId15">
            <anchor moveWithCells="1">
              <from>
                <xdr:col>15</xdr:col>
                <xdr:colOff>85725</xdr:colOff>
                <xdr:row>12</xdr:row>
                <xdr:rowOff>19050</xdr:rowOff>
              </from>
              <to>
                <xdr:col>16</xdr:col>
                <xdr:colOff>542925</xdr:colOff>
                <xdr:row>13</xdr:row>
                <xdr:rowOff>0</xdr:rowOff>
              </to>
            </anchor>
          </controlPr>
        </control>
      </mc:Choice>
      <mc:Fallback>
        <control shapeId="1029" r:id="rId14" name="Enter4"/>
      </mc:Fallback>
    </mc:AlternateContent>
    <mc:AlternateContent xmlns:mc="http://schemas.openxmlformats.org/markup-compatibility/2006">
      <mc:Choice Requires="x14">
        <control shapeId="1030" r:id="rId16" name="Enter5">
          <controlPr defaultSize="0" disabled="1" autoLine="0" r:id="rId17">
            <anchor moveWithCells="1">
              <from>
                <xdr:col>15</xdr:col>
                <xdr:colOff>85725</xdr:colOff>
                <xdr:row>13</xdr:row>
                <xdr:rowOff>19050</xdr:rowOff>
              </from>
              <to>
                <xdr:col>16</xdr:col>
                <xdr:colOff>542925</xdr:colOff>
                <xdr:row>14</xdr:row>
                <xdr:rowOff>0</xdr:rowOff>
              </to>
            </anchor>
          </controlPr>
        </control>
      </mc:Choice>
      <mc:Fallback>
        <control shapeId="1030" r:id="rId16" name="Enter5"/>
      </mc:Fallback>
    </mc:AlternateContent>
    <mc:AlternateContent xmlns:mc="http://schemas.openxmlformats.org/markup-compatibility/2006">
      <mc:Choice Requires="x14">
        <control shapeId="1031" r:id="rId18" name="Enter6">
          <controlPr defaultSize="0" disabled="1" autoLine="0" r:id="rId19">
            <anchor moveWithCells="1">
              <from>
                <xdr:col>15</xdr:col>
                <xdr:colOff>85725</xdr:colOff>
                <xdr:row>14</xdr:row>
                <xdr:rowOff>19050</xdr:rowOff>
              </from>
              <to>
                <xdr:col>16</xdr:col>
                <xdr:colOff>542925</xdr:colOff>
                <xdr:row>15</xdr:row>
                <xdr:rowOff>0</xdr:rowOff>
              </to>
            </anchor>
          </controlPr>
        </control>
      </mc:Choice>
      <mc:Fallback>
        <control shapeId="1031" r:id="rId18" name="Enter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ioSSD</dc:creator>
  <cp:lastModifiedBy>ioSSD</cp:lastModifiedBy>
  <dcterms:created xsi:type="dcterms:W3CDTF">2022-01-14T17:18:31Z</dcterms:created>
  <dcterms:modified xsi:type="dcterms:W3CDTF">2022-03-13T09:36:56Z</dcterms:modified>
</cp:coreProperties>
</file>